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dae34c9f6947e4" /></Relationships>
</file>

<file path=xl/workbook.xml><?xml version="1.0" encoding="utf-8"?>
<x:workbook xmlns:x="http://schemas.openxmlformats.org/spreadsheetml/2006/main">
  <x:sheets>
    <x:sheet xmlns:r="http://schemas.openxmlformats.org/officeDocument/2006/relationships" name="Summary" sheetId="1" r:id="Ree68166bf55c44e7"/>
    <x:sheet xmlns:r="http://schemas.openxmlformats.org/officeDocument/2006/relationships" name="IWT Entities" sheetId="2" r:id="R982105daf0c44a35"/>
    <x:sheet xmlns:r="http://schemas.openxmlformats.org/officeDocument/2006/relationships" name="Methodology" sheetId="3" r:id="R9b40411f65bd49f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8"/>
      <x:color rgb="FFFFFFFF"/>
      <x:name val="Carlito"/>
    </x:font>
    <x:font>
      <x:b/>
      <x:sz val="11"/>
      <x:name val="Carlito"/>
    </x:font>
    <x:font>
      <x:b/>
      <x:sz val="11"/>
      <x:color rgb="FF17365D"/>
      <x:name val="Carlito"/>
    </x:font>
    <x:font>
      <x:b/>
      <x:sz val="16"/>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AF2F8"/>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cellXfs>
  <x:cellStyles count="1">
    <x:cellStyle name="Normal" xfId="0"/>
  </x:cellStyles>
  <x:dxfs count="8">
    <x:dxf>
      <x:font>
        <x:color rgb="FF375623"/>
      </x:font>
      <x:fill>
        <x:patternFill patternType="solid">
          <x:bgColor rgb="FFE2F0D9"/>
        </x:patternFill>
      </x:fill>
    </x:dxf>
    <x:dxf>
      <x:font>
        <x:color rgb="FF1F4E78"/>
      </x:font>
      <x:fill>
        <x:patternFill patternType="solid">
          <x:bgColor rgb="FFDDEBF7"/>
        </x:patternFill>
      </x:fill>
    </x:dxf>
    <x:dxf>
      <x:font>
        <x:color rgb="FFC65911"/>
      </x:font>
      <x:fill>
        <x:patternFill patternType="solid">
          <x:bgColor rgb="FFFCE4D6"/>
        </x:patternFill>
      </x:fill>
    </x:dxf>
    <x:dxf>
      <x:font>
        <x:color rgb="FF806000"/>
      </x:font>
      <x:fill>
        <x:patternFill patternType="solid">
          <x:bgColor rgb="FFFFF2CC"/>
        </x:patternFill>
      </x:fill>
    </x:dxf>
    <x:dxf>
      <x:font>
        <x:color rgb="FF806000"/>
      </x:font>
      <x:fill>
        <x:patternFill patternType="solid">
          <x:bgColor rgb="FFFFF2CC"/>
        </x:patternFill>
      </x:fill>
    </x:dxf>
    <x:dxf>
      <x:font>
        <x:color rgb="FF9C0006"/>
      </x:font>
      <x:fill>
        <x:patternFill patternType="solid">
          <x:bgColor rgb="FFF4CCCC"/>
        </x:patternFill>
      </x:fill>
    </x:dxf>
    <x:dxf>
      <x:font>
        <x:color rgb="FF595959"/>
      </x:font>
      <x:fill>
        <x:patternFill patternType="solid">
          <x:bgColor rgb="FFE7E6E6"/>
        </x:patternFill>
      </x:fill>
    </x:dxf>
    <x:dxf>
      <x:font>
        <x:color rgb="FF4C327A"/>
      </x:font>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1faed571d34fc2" /><Relationship Type="http://schemas.openxmlformats.org/officeDocument/2006/relationships/theme" Target="/xl/theme/theme1.xml" Id="Rba86653aeaa44ede" /><Relationship Type="http://schemas.openxmlformats.org/officeDocument/2006/relationships/sharedStrings" Target="/xl/sharedStrings.xml" Id="R8fa7043b14e5445d" /><Relationship Type="http://schemas.openxmlformats.org/officeDocument/2006/relationships/worksheet" Target="/xl/worksheets/sheet1.xml" Id="Ree68166bf55c44e7" /><Relationship Type="http://schemas.openxmlformats.org/officeDocument/2006/relationships/worksheet" Target="/xl/worksheets/sheet2.xml" Id="R982105daf0c44a35" /><Relationship Type="http://schemas.openxmlformats.org/officeDocument/2006/relationships/worksheet" Target="/xl/worksheets/sheet3.xml" Id="R9b40411f65bd49fc" /></Relationships>
</file>

<file path=xl/drawings/_rels/drawing1.xml.rels>&#65279;<?xml version="1.0" encoding="utf-8"?><Relationships xmlns="http://schemas.openxmlformats.org/package/2006/relationships"><Relationship Type="http://schemas.openxmlformats.org/officeDocument/2006/relationships/chart" Target="/xl/drawings/charts/chart1.xml" Id="R5fbd3e143fac48b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Named records by year</a:t>
            </a:r>
          </a:p>
        </c:rich>
      </c:tx>
    </c:title>
    <c:plotArea>
      <c:barChart>
        <c:barDir val="col"/>
        <c:grouping val="clustered"/>
        <c:varyColors val="0"/>
        <c:ser>
          <c:idx val="0"/>
          <c:order val="0"/>
          <c:tx>
            <c:v>Named subject records</c:v>
          </c:tx>
          <c:cat>
            <c:strRef>
              <c:f>'Summary'!$A$17:$A$33</c:f>
              <c:strCache>
                <c:ptCount val="0"/>
              </c:strCache>
            </c:strRef>
          </c:cat>
          <c:val>
            <c:numRef>
              <c:f>'Summary'!$B$17:$B$33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11</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fbd3e143fac48b3"/>
        </a:graphicData>
      </a:graphic>
    </xdr:graphicFrame>
    <xdr:clientData/>
  </xdr:twoCellAnchor>
</xdr:wsDr>
</file>

<file path=xl/tables/table1.xml><?xml version="1.0" encoding="utf-8"?>
<x:table xmlns:x="http://schemas.openxmlformats.org/spreadsheetml/2006/main" id="1" name="IWTEntitiesTable" displayName="IWTEntitiesTable" ref="A1:V126" headerRowCount="1" totalsRowCount="0" totalsRowShown="0">
  <x:tableColumns count="22">
    <x:tableColumn id="1" name="Record ID"/>
    <x:tableColumn id="2" name="Source Date"/>
    <x:tableColumn id="3" name="Year"/>
    <x:tableColumn id="4" name="Subject Category"/>
    <x:tableColumn id="5" name="Subject Name"/>
    <x:tableColumn id="6" name="Alias / Alternate Name"/>
    <x:tableColumn id="7" name="Country / Jurisdiction"/>
    <x:tableColumn id="8" name="Region"/>
    <x:tableColumn id="9" name="Role / Connection"/>
    <x:tableColumn id="10" name="Status Group"/>
    <x:tableColumn id="11" name="Legal / Investigative Status Detail"/>
    <x:tableColumn id="12" name="Outcome / Sentence"/>
    <x:tableColumn id="13" name="Species / Commodity"/>
    <x:tableColumn id="14" name="Conduct Summary"/>
    <x:tableColumn id="15" name="Case / Network / Connected Entity"/>
    <x:tableColumn id="16" name="Source Publisher"/>
    <x:tableColumn id="17" name="Source Language"/>
    <x:tableColumn id="18" name="Source Type"/>
    <x:tableColumn id="19" name="Source Title"/>
    <x:tableColumn id="20" name="Source URL"/>
    <x:tableColumn id="21" name="Confidence"/>
    <x:tableColumn id="22" name="Legal Caveat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b916cf6dd004263" /></Relationships>
</file>

<file path=xl/worksheets/_rels/sheet2.xml.rels>&#65279;<?xml version="1.0" encoding="utf-8"?><Relationships xmlns="http://schemas.openxmlformats.org/package/2006/relationships"><Relationship Type="http://schemas.openxmlformats.org/officeDocument/2006/relationships/table" Target="/xl/tables/table1.xml" Id="R25c2a54f371a4e5d" /></Relationships>
</file>

<file path=xl/worksheets/sheet1.xml><?xml version="1.0" encoding="utf-8"?>
<x:worksheet xmlns:x="http://schemas.openxmlformats.org/spreadsheetml/2006/main">
  <x:sheetFormatPr defaultRowHeight="15"/>
  <x:cols>
    <x:col min="1" max="1" width="25" hidden="0" customWidth="1"/>
    <x:col min="2" max="2" width="25" hidden="0" customWidth="1"/>
    <x:col min="3" max="3" width="4" hidden="0" customWidth="1"/>
    <x:col min="4" max="4" width="30" hidden="0" customWidth="1"/>
    <x:col min="5" max="5" width="16"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0" customHeight="1">
      <x:c r="A1" s="20" t="str">
        <x:v>Illegal Wildlife Trade Named Entities, 2010–2026</x:v>
      </x:c>
      <x:c r="B1" s="20"/>
      <x:c r="C1" s="20"/>
      <x:c r="D1" s="20"/>
      <x:c r="E1" s="20"/>
      <x:c r="F1" s="20"/>
      <x:c r="G1" s="20"/>
      <x:c r="H1" s="20"/>
    </x:row>
    <x:row r="3">
      <x:c r="A3" s="25" t="str">
        <x:v>Scope note</x:v>
      </x:c>
      <x:c r="B3" s="12" t="str">
        <x:v>Open-source compilation of named people, companies, facilities, nonprofits and networks appearing in wildlife-trafficking / illegal wildlife trade enforcement or investigative reporting from 2010 through 13 Aug 2026.</x:v>
      </x:c>
      <x:c r="C3" s="12"/>
      <x:c r="D3" s="12"/>
      <x:c r="E3" s="12"/>
      <x:c r="F3" s="12"/>
      <x:c r="G3" s="12"/>
      <x:c r="H3" s="12"/>
    </x:row>
    <x:row r="4">
      <x:c r="A4" s="25" t="str">
        <x:v>Legal caution</x:v>
      </x:c>
      <x:c r="B4" s="12" t="str">
        <x:v>A name in this workbook does not necessarily mean criminal guilt. Filter by Status Group and read the Legal Caveat / Notes column before using a record externally.</x:v>
      </x:c>
      <x:c r="C4" s="12"/>
      <x:c r="D4" s="12"/>
      <x:c r="E4" s="12"/>
      <x:c r="F4" s="12"/>
      <x:c r="G4" s="12"/>
      <x:c r="H4" s="12"/>
    </x:row>
    <x:row r="6">
      <x:c r="A6" s="6" t="str">
        <x:v>KPI</x:v>
      </x:c>
      <x:c r="B6" s="6" t="str">
        <x:v>Value</x:v>
      </x:c>
      <x:c r="D6" s="6" t="str">
        <x:v>Status Group</x:v>
      </x:c>
      <x:c r="E6" s="6" t="str">
        <x:v>Count</x:v>
      </x:c>
    </x:row>
    <x:row r="7">
      <x:c r="A7" t="str">
        <x:v>Total subject records</x:v>
      </x:c>
      <x:c r="B7" t="n">
        <x:f>COUNTA('IWT Entities'!A2:A126)</x:f>
        <x:v>125</x:v>
      </x:c>
      <x:c r="D7" t="str">
        <x:v>Sentenced/Convicted</x:v>
      </x:c>
      <x:c r="E7" t="n">
        <x:f>COUNTIF('IWT Entities'!J2:J126,D7)</x:f>
        <x:v>68</x:v>
      </x:c>
    </x:row>
    <x:row r="8">
      <x:c r="A8" t="str">
        <x:v>Unique named subjects</x:v>
      </x:c>
      <x:c r="B8" t="n">
        <x:v>125</x:v>
      </x:c>
      <x:c r="D8" t="str">
        <x:v>Pleaded Guilty</x:v>
      </x:c>
      <x:c r="E8" t="n">
        <x:f>COUNTIF('IWT Entities'!J2:J126,D8)</x:f>
        <x:v>17</x:v>
      </x:c>
    </x:row>
    <x:row r="9">
      <x:c r="A9" t="str">
        <x:v>People</x:v>
      </x:c>
      <x:c r="B9" t="n">
        <x:f>COUNTIF('IWT Entities'!D2:D126,"Person")</x:f>
        <x:v>108</x:v>
      </x:c>
      <x:c r="D9" t="str">
        <x:v>Charged/Indicted</x:v>
      </x:c>
      <x:c r="E9" t="n">
        <x:f>COUNTIF('IWT Entities'!J2:J126,D9)</x:f>
        <x:v>16</x:v>
      </x:c>
    </x:row>
    <x:row r="10">
      <x:c r="A10" t="str">
        <x:v>Businesses / facilities / companies</x:v>
      </x:c>
      <x:c r="B10" t="n">
        <x:f>COUNTIF('IWT Entities'!D2:D126,"Business")+COUNTIF('IWT Entities'!D2:D126,"Company")+COUNTIF('IWT Entities'!D2:D126,"Business/Facility")</x:f>
        <x:v>13</x:v>
      </x:c>
      <x:c r="D10" t="str">
        <x:v>Arrested/Detained</x:v>
      </x:c>
      <x:c r="E10" t="n">
        <x:f>COUNTIF('IWT Entities'!J2:J126,D10)</x:f>
        <x:v>7</x:v>
      </x:c>
    </x:row>
    <x:row r="11">
      <x:c r="A11" t="str">
        <x:v>Networks / nonprofits</x:v>
      </x:c>
      <x:c r="B11" t="n">
        <x:f>COUNTIF('IWT Entities'!D2:D126,"Network")+COUNTIF('IWT Entities'!D2:D126,"Nonprofit")</x:f>
        <x:v>4</x:v>
      </x:c>
      <x:c r="D11" t="str">
        <x:v>Wanted/Reward</x:v>
      </x:c>
      <x:c r="E11" t="n">
        <x:f>COUNTIF('IWT Entities'!J2:J126,D11)</x:f>
        <x:v>2</x:v>
      </x:c>
    </x:row>
    <x:row r="12">
      <x:c r="A12" t="str">
        <x:v>Convicted / sentenced</x:v>
      </x:c>
      <x:c r="B12" t="n">
        <x:f>COUNTIF('IWT Entities'!J2:J126,"Sentenced/Convicted")</x:f>
        <x:v>68</x:v>
      </x:c>
      <x:c r="D12" t="str">
        <x:v>Investigated/Alleged</x:v>
      </x:c>
      <x:c r="E12" t="n">
        <x:f>COUNTIF('IWT Entities'!J2:J126,D12)</x:f>
        <x:v>3</x:v>
      </x:c>
    </x:row>
    <x:row r="13">
      <x:c r="A13" t="str">
        <x:v>Charged / indicted</x:v>
      </x:c>
      <x:c r="B13" t="n">
        <x:f>COUNTIF('IWT Entities'!J2:J126,"Charged/Indicted")</x:f>
        <x:v>16</x:v>
      </x:c>
      <x:c r="D13" t="str">
        <x:v>Charges Withdrawn/Dismissed</x:v>
      </x:c>
      <x:c r="E13" t="n">
        <x:f>COUNTIF('IWT Entities'!J2:J126,D13)</x:f>
        <x:v>2</x:v>
      </x:c>
    </x:row>
    <x:row r="14">
      <x:c r="D14" t="str">
        <x:v>Connected Entity</x:v>
      </x:c>
      <x:c r="E14" t="n">
        <x:f>COUNTIF('IWT Entities'!J2:J126,D14)</x:f>
        <x:v>10</x:v>
      </x:c>
    </x:row>
    <x:row r="16">
      <x:c r="A16" s="6" t="str">
        <x:v>Year</x:v>
      </x:c>
      <x:c r="B16" s="6" t="str">
        <x:v>Named subject records</x:v>
      </x:c>
    </x:row>
    <x:row r="17">
      <x:c r="A17" t="n">
        <x:v>2010</x:v>
      </x:c>
      <x:c r="B17" t="n">
        <x:f>COUNTIF('IWT Entities'!C2:C126,A17)</x:f>
        <x:v>1</x:v>
      </x:c>
    </x:row>
    <x:row r="18">
      <x:c r="A18" t="n">
        <x:v>2011</x:v>
      </x:c>
      <x:c r="B18" t="n">
        <x:f>COUNTIF('IWT Entities'!C2:C126,A18)</x:f>
        <x:v>0</x:v>
      </x:c>
    </x:row>
    <x:row r="19">
      <x:c r="A19" t="n">
        <x:v>2012</x:v>
      </x:c>
      <x:c r="B19" t="n">
        <x:f>COUNTIF('IWT Entities'!C2:C126,A19)</x:f>
        <x:v>1</x:v>
      </x:c>
    </x:row>
    <x:row r="20">
      <x:c r="A20" t="n">
        <x:v>2013</x:v>
      </x:c>
      <x:c r="B20" t="n">
        <x:f>COUNTIF('IWT Entities'!C2:C126,A20)</x:f>
        <x:v>7</x:v>
      </x:c>
    </x:row>
    <x:row r="21">
      <x:c r="A21" t="n">
        <x:v>2014</x:v>
      </x:c>
      <x:c r="B21" t="n">
        <x:f>COUNTIF('IWT Entities'!C2:C126,A21)</x:f>
        <x:v>6</x:v>
      </x:c>
    </x:row>
    <x:row r="22">
      <x:c r="A22" t="n">
        <x:v>2015</x:v>
      </x:c>
      <x:c r="B22" t="n">
        <x:f>COUNTIF('IWT Entities'!C2:C126,A22)</x:f>
        <x:v>6</x:v>
      </x:c>
    </x:row>
    <x:row r="23">
      <x:c r="A23" t="n">
        <x:v>2016</x:v>
      </x:c>
      <x:c r="B23" t="n">
        <x:f>COUNTIF('IWT Entities'!C2:C126,A23)</x:f>
        <x:v>3</x:v>
      </x:c>
    </x:row>
    <x:row r="24">
      <x:c r="A24" t="n">
        <x:v>2017</x:v>
      </x:c>
      <x:c r="B24" t="n">
        <x:f>COUNTIF('IWT Entities'!C2:C126,A24)</x:f>
        <x:v>4</x:v>
      </x:c>
    </x:row>
    <x:row r="25">
      <x:c r="A25" t="n">
        <x:v>2018</x:v>
      </x:c>
      <x:c r="B25" t="n">
        <x:f>COUNTIF('IWT Entities'!C2:C126,A25)</x:f>
        <x:v>1</x:v>
      </x:c>
    </x:row>
    <x:row r="26">
      <x:c r="A26" t="n">
        <x:v>2019</x:v>
      </x:c>
      <x:c r="B26" t="n">
        <x:f>COUNTIF('IWT Entities'!C2:C126,A26)</x:f>
        <x:v>4</x:v>
      </x:c>
    </x:row>
    <x:row r="27">
      <x:c r="A27" t="n">
        <x:v>2020</x:v>
      </x:c>
      <x:c r="B27" t="n">
        <x:f>COUNTIF('IWT Entities'!C2:C126,A27)</x:f>
        <x:v>1</x:v>
      </x:c>
    </x:row>
    <x:row r="28">
      <x:c r="A28" t="n">
        <x:v>2021</x:v>
      </x:c>
      <x:c r="B28" t="n">
        <x:f>COUNTIF('IWT Entities'!C2:C126,A28)</x:f>
        <x:v>8</x:v>
      </x:c>
    </x:row>
    <x:row r="29">
      <x:c r="A29" t="n">
        <x:v>2022</x:v>
      </x:c>
      <x:c r="B29" t="n">
        <x:f>COUNTIF('IWT Entities'!C2:C126,A29)</x:f>
        <x:v>17</x:v>
      </x:c>
    </x:row>
    <x:row r="30">
      <x:c r="A30" t="n">
        <x:v>2023</x:v>
      </x:c>
      <x:c r="B30" t="n">
        <x:f>COUNTIF('IWT Entities'!C2:C126,A30)</x:f>
        <x:v>15</x:v>
      </x:c>
    </x:row>
    <x:row r="31">
      <x:c r="A31" t="n">
        <x:v>2024</x:v>
      </x:c>
      <x:c r="B31" t="n">
        <x:f>COUNTIF('IWT Entities'!C2:C126,A31)</x:f>
        <x:v>10</x:v>
      </x:c>
    </x:row>
    <x:row r="32">
      <x:c r="A32" t="n">
        <x:v>2025</x:v>
      </x:c>
      <x:c r="B32" t="n">
        <x:f>COUNTIF('IWT Entities'!C2:C126,A32)</x:f>
        <x:v>20</x:v>
      </x:c>
    </x:row>
    <x:row r="33">
      <x:c r="A33" t="n">
        <x:v>2026</x:v>
      </x:c>
      <x:c r="B33" t="n">
        <x:f>COUNTIF('IWT Entities'!C2:C126,A33)</x:f>
        <x:v>21</x:v>
      </x:c>
    </x:row>
    <x:row r="35">
      <x:c r="A35" s="28" t="str">
        <x:v>Interpretation notes</x:v>
      </x:c>
      <x:c r="B35" s="28"/>
      <x:c r="C35" s="28"/>
      <x:c r="D35" s="28"/>
      <x:c r="E35" s="28"/>
      <x:c r="F35" s="28"/>
      <x:c r="G35" s="28"/>
      <x:c r="H35" s="28"/>
    </x:row>
    <x:row r="36">
      <x:c r="A36" s="12" t="str">
        <x:v>1</x:v>
      </x:c>
      <x:c r="B36" s="12" t="str">
        <x:v>Counts represent named subject records in this compilation, not the global volume of wildlife crime.</x:v>
      </x:c>
      <x:c r="C36" s="12"/>
      <x:c r="D36" s="12"/>
      <x:c r="E36" s="12"/>
      <x:c r="F36" s="12"/>
      <x:c r="G36" s="12"/>
      <x:c r="H36" s="12"/>
    </x:row>
    <x:row r="37">
      <x:c r="A37" s="12" t="str">
        <x:v>2</x:v>
      </x:c>
      <x:c r="B37" s="12" t="str">
        <x:v>A single enforcement case may create multiple rows because every named person, business or network is indexed separately.</x:v>
      </x:c>
      <x:c r="C37" s="12"/>
      <x:c r="D37" s="12"/>
      <x:c r="E37" s="12"/>
      <x:c r="F37" s="12"/>
      <x:c r="G37" s="12"/>
      <x:c r="H37" s="12"/>
    </x:row>
    <x:row r="38">
      <x:c r="A38" s="12" t="str">
        <x:v>3</x:v>
      </x:c>
      <x:c r="B38" s="12" t="str">
        <x:v>This is a broad high-confidence scan, not an exhaustive census of every report published globally since 2010.</x:v>
      </x:c>
      <x:c r="C38" s="12"/>
      <x:c r="D38" s="12"/>
      <x:c r="E38" s="12"/>
      <x:c r="F38" s="12"/>
      <x:c r="G38" s="12"/>
      <x:c r="H38" s="12"/>
    </x:row>
  </x:sheetData>
  <x:mergeCells>
    <x:mergeCell ref="A1:H1"/>
    <x:mergeCell ref="B3:H3"/>
    <x:mergeCell ref="B4:H4"/>
    <x:mergeCell ref="A35:H35"/>
    <x:mergeCell ref="B36:H36"/>
    <x:mergeCell ref="B37:H37"/>
    <x:mergeCell ref="B38:H38"/>
  </x:mergeCells>
  <x:pageMargins left="0.7" right="0.7" top="0.75" bottom="0.75" header="0.3" footer="0.3"/>
  <x:drawing xmlns:r="http://schemas.openxmlformats.org/officeDocument/2006/relationships" r:id="Rbb916cf6dd004263"/>
</x:worksheet>
</file>

<file path=xl/worksheets/sheet2.xml><?xml version="1.0" encoding="utf-8"?>
<x:worksheet xmlns:x="http://schemas.openxmlformats.org/spreadsheetml/2006/main">
  <x:sheetFormatPr defaultRowHeight="15"/>
  <x:cols>
    <x:col min="1" max="1" width="9" hidden="0" customWidth="1"/>
    <x:col min="2" max="2" width="12" hidden="0" customWidth="1"/>
    <x:col min="3" max="3" width="8" hidden="0" customWidth="1"/>
    <x:col min="4" max="4" width="16" hidden="0" customWidth="1"/>
    <x:col min="5" max="5" width="24" hidden="0" customWidth="1"/>
    <x:col min="6" max="6" width="20" hidden="0" customWidth="1"/>
    <x:col min="7" max="7" width="24" hidden="0" customWidth="1"/>
    <x:col min="8" max="8" width="20" hidden="0" customWidth="1"/>
    <x:col min="9" max="9" width="28" hidden="0" customWidth="1"/>
    <x:col min="10" max="10" width="20" hidden="0" customWidth="1"/>
    <x:col min="11" max="11" width="42" hidden="0" customWidth="1"/>
    <x:col min="12" max="12" width="30" hidden="0" customWidth="1"/>
    <x:col min="13" max="13" width="28" hidden="0" customWidth="1"/>
    <x:col min="14" max="14" width="52" hidden="0" customWidth="1"/>
    <x:col min="15" max="15" width="30" hidden="0" customWidth="1"/>
    <x:col min="16" max="16" width="24" hidden="0" customWidth="1"/>
    <x:col min="17" max="17" width="14" hidden="0" customWidth="1"/>
    <x:col min="18" max="18" width="28" hidden="0" customWidth="1"/>
    <x:col min="19" max="19" width="46" hidden="0" customWidth="1"/>
    <x:col min="20" max="20" width="58" hidden="0" customWidth="1"/>
    <x:col min="21" max="21" width="12" hidden="0" customWidth="1"/>
    <x:col min="22" max="22" width="48" hidden="0" customWidth="1"/>
  </x:cols>
  <x:sheetData>
    <x:row r="1">
      <x:c r="A1" s="14" t="str">
        <x:v>Record ID</x:v>
      </x:c>
      <x:c r="B1" s="14" t="str">
        <x:v>Source Date</x:v>
      </x:c>
      <x:c r="C1" s="14" t="str">
        <x:v>Year</x:v>
      </x:c>
      <x:c r="D1" s="14" t="str">
        <x:v>Subject Category</x:v>
      </x:c>
      <x:c r="E1" s="14" t="str">
        <x:v>Subject Name</x:v>
      </x:c>
      <x:c r="F1" s="14" t="str">
        <x:v>Alias / Alternate Name</x:v>
      </x:c>
      <x:c r="G1" s="14" t="str">
        <x:v>Country / Jurisdiction</x:v>
      </x:c>
      <x:c r="H1" s="14" t="str">
        <x:v>Region</x:v>
      </x:c>
      <x:c r="I1" s="14" t="str">
        <x:v>Role / Connection</x:v>
      </x:c>
      <x:c r="J1" s="14" t="str">
        <x:v>Status Group</x:v>
      </x:c>
      <x:c r="K1" s="14" t="str">
        <x:v>Legal / Investigative Status Detail</x:v>
      </x:c>
      <x:c r="L1" s="14" t="str">
        <x:v>Outcome / Sentence</x:v>
      </x:c>
      <x:c r="M1" s="14" t="str">
        <x:v>Species / Commodity</x:v>
      </x:c>
      <x:c r="N1" s="14" t="str">
        <x:v>Conduct Summary</x:v>
      </x:c>
      <x:c r="O1" s="14" t="str">
        <x:v>Case / Network / Connected Entity</x:v>
      </x:c>
      <x:c r="P1" s="14" t="str">
        <x:v>Source Publisher</x:v>
      </x:c>
      <x:c r="Q1" s="14" t="str">
        <x:v>Source Language</x:v>
      </x:c>
      <x:c r="R1" s="14" t="str">
        <x:v>Source Type</x:v>
      </x:c>
      <x:c r="S1" s="14" t="str">
        <x:v>Source Title</x:v>
      </x:c>
      <x:c r="T1" s="14" t="str">
        <x:v>Source URL</x:v>
      </x:c>
      <x:c r="U1" s="14" t="str">
        <x:v>Confidence</x:v>
      </x:c>
      <x:c r="V1" s="14" t="str">
        <x:v>Legal Caveat / Notes</x:v>
      </x:c>
    </x:row>
    <x:row r="2">
      <x:c r="A2" s="15" t="n">
        <x:v>1</x:v>
      </x:c>
      <x:c r="B2" s="15" t="str">
        <x:v>2010-09-06</x:v>
      </x:c>
      <x:c r="C2" s="15" t="n">
        <x:v>2010</x:v>
      </x:c>
      <x:c r="D2" s="15" t="str">
        <x:v>Person</x:v>
      </x:c>
      <x:c r="E2" s="15" t="str">
        <x:v>Anson Wong Keng Liang</x:v>
      </x:c>
      <x:c r="F2" s="15" t="str"/>
      <x:c r="G2" s="15" t="str">
        <x:v>Malaysia</x:v>
      </x:c>
      <x:c r="H2" s="15" t="str">
        <x:v>Southeast Asia</x:v>
      </x:c>
      <x:c r="I2" s="15" t="str">
        <x:v>Wildlife trader</x:v>
      </x:c>
      <x:c r="J2" s="15" t="str">
        <x:v>Sentenced/Convicted</x:v>
      </x:c>
      <x:c r="K2" s="15" t="str">
        <x:v>Convicted for attempting to export protected wildlife without the required permit.</x:v>
      </x:c>
      <x:c r="L2" s="15" t="str">
        <x:v>Six months' imprisonment and RM190,000 fine reported in 2010.</x:v>
      </x:c>
      <x:c r="M2" s="15" t="str">
        <x:v>Boa constrictors</x:v>
      </x:c>
      <x:c r="N2" s="15" t="str">
        <x:v>Attempted export of 95 boa constrictors without a permit.</x:v>
      </x:c>
      <x:c r="O2" s="15" t="str"/>
      <x:c r="P2" s="15" t="str">
        <x:v>TRAFFIC</x:v>
      </x:c>
      <x:c r="Q2" s="15" t="str">
        <x:v>English</x:v>
      </x:c>
      <x:c r="R2" s="15" t="str">
        <x:v>NGO / conservation enforcement reporting</x:v>
      </x:c>
      <x:c r="S2" s="15" t="str">
        <x:v>International wildlife trafficker sentenced to 6 months in Malaysia</x:v>
      </x:c>
      <x:c r="T2" s="15" t="str">
        <x:v>https://www.traffic.org/news/international-wildlife-trafficker-sentenced-to-6-months-in-malaysia/</x:v>
      </x:c>
      <x:c r="U2" s="15" t="str">
        <x:v>High</x:v>
      </x:c>
      <x:c r="V2" s="15" t="str"/>
    </x:row>
    <x:row r="3">
      <x:c r="A3" s="15" t="n">
        <x:v>2</x:v>
      </x:c>
      <x:c r="B3" s="15" t="str">
        <x:v>2012-11-09</x:v>
      </x:c>
      <x:c r="C3" s="15" t="n">
        <x:v>2012</x:v>
      </x:c>
      <x:c r="D3" s="15" t="str">
        <x:v>Person</x:v>
      </x:c>
      <x:c r="E3" s="15" t="str">
        <x:v>Chumlong Lemtongthai</x:v>
      </x:c>
      <x:c r="F3" s="15" t="str"/>
      <x:c r="G3" s="15" t="str">
        <x:v>South Africa / Thailand</x:v>
      </x:c>
      <x:c r="H3" s="15" t="str">
        <x:v>Africa / Southeast Asia</x:v>
      </x:c>
      <x:c r="I3" s="15" t="str">
        <x:v>Rhino horn trafficking organizer</x:v>
      </x:c>
      <x:c r="J3" s="15" t="str">
        <x:v>Sentenced/Convicted</x:v>
      </x:c>
      <x:c r="K3" s="15" t="str">
        <x:v>Convicted in South Africa over a pseudo-hunting rhino horn trafficking scheme.</x:v>
      </x:c>
      <x:c r="L3" s="15" t="str">
        <x:v>Initially sentenced to 40 years in 2012; sentence was later reduced on appeal.</x:v>
      </x:c>
      <x:c r="M3" s="15" t="str">
        <x:v>Rhinoceros horn</x:v>
      </x:c>
      <x:c r="N3" s="15" t="str">
        <x:v>Organized sham rhino hunts using Thai nationals to obtain horns for illegal trade.</x:v>
      </x:c>
      <x:c r="O3" s="15" t="str">
        <x:v>Xaysavang-linked rhino trafficking case</x:v>
      </x:c>
      <x:c r="P3" s="15" t="str">
        <x:v>South African Revenue Service</x:v>
      </x:c>
      <x:c r="Q3" s="15" t="str">
        <x:v>English</x:v>
      </x:c>
      <x:c r="R3" s="15" t="str">
        <x:v>Government</x:v>
      </x:c>
      <x:c r="S3" s="15" t="str">
        <x:v>Sentencing of rhino horn smuggling kingpin</x:v>
      </x:c>
      <x:c r="T3" s="15" t="str">
        <x:v>https://www.sars.gov.za/media-release/9-november-2012-sentencing-of-rhino-horn-smuggling-kingpin/</x:v>
      </x:c>
      <x:c r="U3" s="15" t="str">
        <x:v>High</x:v>
      </x:c>
      <x:c r="V3" s="15" t="str"/>
    </x:row>
    <x:row r="4">
      <x:c r="A4" s="15" t="n">
        <x:v>3</x:v>
      </x:c>
      <x:c r="B4" s="15" t="str">
        <x:v>2013-05-15</x:v>
      </x:c>
      <x:c r="C4" s="15" t="n">
        <x:v>2013</x:v>
      </x:c>
      <x:c r="D4" s="15" t="str">
        <x:v>Person</x:v>
      </x:c>
      <x:c r="E4" s="15" t="str">
        <x:v>Vinh Chuong Kha</x:v>
      </x:c>
      <x:c r="F4" s="15" t="str">
        <x:v>Jimmy Kha</x:v>
      </x:c>
      <x:c r="G4" s="15" t="str">
        <x:v>United States / Vietnam</x:v>
      </x:c>
      <x:c r="H4" s="15" t="str">
        <x:v>North America / Southeast Asia</x:v>
      </x:c>
      <x:c r="I4" s="15" t="str">
        <x:v>Rhino horn trafficker</x:v>
      </x:c>
      <x:c r="J4" s="15" t="str">
        <x:v>Sentenced/Convicted</x:v>
      </x:c>
      <x:c r="K4" s="15" t="str">
        <x:v>Pleaded guilty and was sentenced for international trafficking in rhinoceros horn.</x:v>
      </x:c>
      <x:c r="L4" s="15" t="str">
        <x:v>42 months' imprisonment.</x:v>
      </x:c>
      <x:c r="M4" s="15" t="str">
        <x:v>Rhinoceros horn</x:v>
      </x:c>
      <x:c r="N4" s="15" t="str">
        <x:v>Bought and sold black and white rhino horn and participated in a trafficking conspiracy with international links.</x:v>
      </x:c>
      <x:c r="O4" s="15" t="str">
        <x:v>Operation Crash / Kha trafficking ring</x:v>
      </x:c>
      <x:c r="P4" s="15" t="str">
        <x:v>U.S. Department of Justice</x:v>
      </x:c>
      <x:c r="Q4" s="15" t="str">
        <x:v>English</x:v>
      </x:c>
      <x:c r="R4" s="15" t="str">
        <x:v>Official enforcement</x:v>
      </x:c>
      <x:c r="S4" s="15" t="str">
        <x:v>Smuggling ring sentenced in Los Angeles for criminal trafficking of endangered rhinoceros horn</x:v>
      </x:c>
      <x:c r="T4" s="15" t="str">
        <x:v>https://www.justice.gov/archives/opa/pr/smuggling-ring-sentenced-los-angeles-criminal-trafficking-endangered-rhinoceros-horn</x:v>
      </x:c>
      <x:c r="U4" s="15" t="str">
        <x:v>High</x:v>
      </x:c>
      <x:c r="V4" s="15" t="str"/>
    </x:row>
    <x:row r="5">
      <x:c r="A5" s="15" t="n">
        <x:v>4</x:v>
      </x:c>
      <x:c r="B5" s="15" t="str">
        <x:v>2013-05-15</x:v>
      </x:c>
      <x:c r="C5" s="15" t="n">
        <x:v>2013</x:v>
      </x:c>
      <x:c r="D5" s="15" t="str">
        <x:v>Person</x:v>
      </x:c>
      <x:c r="E5" s="15" t="str">
        <x:v>Felix Kha</x:v>
      </x:c>
      <x:c r="F5" s="15" t="str"/>
      <x:c r="G5" s="15" t="str">
        <x:v>United States / Vietnam</x:v>
      </x:c>
      <x:c r="H5" s="15" t="str">
        <x:v>North America / Southeast Asia</x:v>
      </x:c>
      <x:c r="I5" s="15" t="str">
        <x:v>Rhino horn trafficker</x:v>
      </x:c>
      <x:c r="J5" s="15" t="str">
        <x:v>Sentenced/Convicted</x:v>
      </x:c>
      <x:c r="K5" s="15" t="str">
        <x:v>Pleaded guilty and was sentenced for international trafficking in rhinoceros horn.</x:v>
      </x:c>
      <x:c r="L5" s="15" t="str">
        <x:v>46 months' imprisonment.</x:v>
      </x:c>
      <x:c r="M5" s="15" t="str">
        <x:v>Rhinoceros horn</x:v>
      </x:c>
      <x:c r="N5" s="15" t="str">
        <x:v>Participated in buying and selling rhino horn as part of an international trafficking conspiracy.</x:v>
      </x:c>
      <x:c r="O5" s="15" t="str">
        <x:v>Operation Crash / Kha trafficking ring</x:v>
      </x:c>
      <x:c r="P5" s="15" t="str">
        <x:v>U.S. Department of Justice</x:v>
      </x:c>
      <x:c r="Q5" s="15" t="str">
        <x:v>English</x:v>
      </x:c>
      <x:c r="R5" s="15" t="str">
        <x:v>Official enforcement</x:v>
      </x:c>
      <x:c r="S5" s="15" t="str">
        <x:v>Smuggling ring sentenced in Los Angeles for criminal trafficking of endangered rhinoceros horn</x:v>
      </x:c>
      <x:c r="T5" s="15" t="str">
        <x:v>https://www.justice.gov/archives/opa/pr/smuggling-ring-sentenced-los-angeles-criminal-trafficking-endangered-rhinoceros-horn</x:v>
      </x:c>
      <x:c r="U5" s="15" t="str">
        <x:v>High</x:v>
      </x:c>
      <x:c r="V5" s="15" t="str"/>
    </x:row>
    <x:row r="6">
      <x:c r="A6" s="15" t="n">
        <x:v>5</x:v>
      </x:c>
      <x:c r="B6" s="15" t="str">
        <x:v>2013-05-15</x:v>
      </x:c>
      <x:c r="C6" s="15" t="n">
        <x:v>2013</x:v>
      </x:c>
      <x:c r="D6" s="15" t="str">
        <x:v>Company</x:v>
      </x:c>
      <x:c r="E6" s="15" t="str">
        <x:v>Win Lee Corporation</x:v>
      </x:c>
      <x:c r="F6" s="15" t="str"/>
      <x:c r="G6" s="15" t="str">
        <x:v>United States</x:v>
      </x:c>
      <x:c r="H6" s="15" t="str">
        <x:v>North America</x:v>
      </x:c>
      <x:c r="I6" s="15" t="str">
        <x:v>Corporate defendant in rhino trafficking case</x:v>
      </x:c>
      <x:c r="J6" s="15" t="str">
        <x:v>Sentenced/Convicted</x:v>
      </x:c>
      <x:c r="K6" s="15" t="str">
        <x:v>Corporate defendant sentenced in the Kha rhino horn trafficking case.</x:v>
      </x:c>
      <x:c r="L6" s="15" t="str">
        <x:v>$100,000 criminal fine.</x:v>
      </x:c>
      <x:c r="M6" s="15" t="str">
        <x:v>Rhinoceros horn</x:v>
      </x:c>
      <x:c r="N6" s="15" t="str">
        <x:v>Company linked to the Kha family trafficking conspiracy.</x:v>
      </x:c>
      <x:c r="O6" s="15" t="str">
        <x:v>Operation Crash / Kha trafficking ring</x:v>
      </x:c>
      <x:c r="P6" s="15" t="str">
        <x:v>U.S. Department of Justice</x:v>
      </x:c>
      <x:c r="Q6" s="15" t="str">
        <x:v>English</x:v>
      </x:c>
      <x:c r="R6" s="15" t="str">
        <x:v>Official enforcement</x:v>
      </x:c>
      <x:c r="S6" s="15" t="str">
        <x:v>Smuggling ring sentenced in Los Angeles for criminal trafficking of endangered rhinoceros horn</x:v>
      </x:c>
      <x:c r="T6" s="15" t="str">
        <x:v>https://www.justice.gov/archives/opa/pr/smuggling-ring-sentenced-los-angeles-criminal-trafficking-endangered-rhinoceros-horn</x:v>
      </x:c>
      <x:c r="U6" s="15" t="str">
        <x:v>High</x:v>
      </x:c>
      <x:c r="V6" s="15" t="str"/>
    </x:row>
    <x:row r="7">
      <x:c r="A7" s="15" t="n">
        <x:v>6</x:v>
      </x:c>
      <x:c r="B7" s="15" t="str">
        <x:v>2013-12-05</x:v>
      </x:c>
      <x:c r="C7" s="15" t="n">
        <x:v>2013</x:v>
      </x:c>
      <x:c r="D7" s="15" t="str">
        <x:v>Person</x:v>
      </x:c>
      <x:c r="E7" s="15" t="str">
        <x:v>Qiang Wang</x:v>
      </x:c>
      <x:c r="F7" s="15" t="str">
        <x:v>Jeffrey Wang</x:v>
      </x:c>
      <x:c r="G7" s="15" t="str">
        <x:v>United States</x:v>
      </x:c>
      <x:c r="H7" s="15" t="str">
        <x:v>North America</x:v>
      </x:c>
      <x:c r="I7" s="15" t="str">
        <x:v>Antiques dealer</x:v>
      </x:c>
      <x:c r="J7" s="15" t="str">
        <x:v>Sentenced/Convicted</x:v>
      </x:c>
      <x:c r="K7" s="15" t="str">
        <x:v>Sentenced for conspiracy to smuggle Asian artifacts made from protected wildlife.</x:v>
      </x:c>
      <x:c r="L7" s="15" t="str">
        <x:v>37 months' imprisonment.</x:v>
      </x:c>
      <x:c r="M7" s="15" t="str">
        <x:v>Rhinoceros horn; elephant ivory</x:v>
      </x:c>
      <x:c r="N7" s="15" t="str">
        <x:v>Trafficked and smuggled wildlife products through the antiques trade.</x:v>
      </x:c>
      <x:c r="O7" s="15" t="str">
        <x:v>Operation Crash</x:v>
      </x:c>
      <x:c r="P7" s="15" t="str">
        <x:v>U.S. Department of Justice</x:v>
      </x:c>
      <x:c r="Q7" s="15" t="str">
        <x:v>English</x:v>
      </x:c>
      <x:c r="R7" s="15" t="str">
        <x:v>Official enforcement</x:v>
      </x:c>
      <x:c r="S7" s="15" t="str">
        <x:v>New York antiques dealer sentenced for wildlife smuggling</x:v>
      </x:c>
      <x:c r="T7" s="15" t="str">
        <x:v>https://www.justice.gov/archives/opa/pr/new-york-antiques-dealer-sentenced-37-months-prison-wildlife-smuggling</x:v>
      </x:c>
      <x:c r="U7" s="15" t="str">
        <x:v>High</x:v>
      </x:c>
      <x:c r="V7" s="15" t="str"/>
    </x:row>
    <x:row r="8">
      <x:c r="A8" s="15" t="n">
        <x:v>7</x:v>
      </x:c>
      <x:c r="B8" s="15" t="str">
        <x:v>2014-05-28</x:v>
      </x:c>
      <x:c r="C8" s="15" t="n">
        <x:v>2014</x:v>
      </x:c>
      <x:c r="D8" s="15" t="str">
        <x:v>Person</x:v>
      </x:c>
      <x:c r="E8" s="15" t="str">
        <x:v>Zhifei Li</x:v>
      </x:c>
      <x:c r="F8" s="15" t="str"/>
      <x:c r="G8" s="15" t="str">
        <x:v>United States / China</x:v>
      </x:c>
      <x:c r="H8" s="15" t="str">
        <x:v>North America / East Asia</x:v>
      </x:c>
      <x:c r="I8" s="15" t="str">
        <x:v>Trafficking ringleader / antiques businessman</x:v>
      </x:c>
      <x:c r="J8" s="15" t="str">
        <x:v>Sentenced/Convicted</x:v>
      </x:c>
      <x:c r="K8" s="15" t="str">
        <x:v>Convicted ringleader of an international rhino horn and ivory smuggling conspiracy.</x:v>
      </x:c>
      <x:c r="L8" s="15" t="str">
        <x:v>70 months' imprisonment.</x:v>
      </x:c>
      <x:c r="M8" s="15" t="str">
        <x:v>Rhinoceros horn; elephant ivory</x:v>
      </x:c>
      <x:c r="N8" s="15" t="str">
        <x:v>Led a conspiracy involving approximately 30 rhino horns and wildlife objects valued above $4.5 million.</x:v>
      </x:c>
      <x:c r="O8" s="15" t="str">
        <x:v>Operation Crash / Overseas Treasure Finding</x:v>
      </x:c>
      <x:c r="P8" s="15" t="str">
        <x:v>U.S. Department of Justice</x:v>
      </x:c>
      <x:c r="Q8" s="15" t="str">
        <x:v>English</x:v>
      </x:c>
      <x:c r="R8" s="15" t="str">
        <x:v>Official enforcement</x:v>
      </x:c>
      <x:c r="S8" s="15" t="str">
        <x:v>Ringleader of international rhino smuggling conspiracy sentenced to 70 months</x:v>
      </x:c>
      <x:c r="T8" s="15" t="str">
        <x:v>https://www.justice.gov/usao-sdfl/pr/ringleader-international-rhino-smuggling-conspiracy-sentenced-new-jersey-70-months</x:v>
      </x:c>
      <x:c r="U8" s="15" t="str">
        <x:v>High</x:v>
      </x:c>
      <x:c r="V8" s="15" t="str"/>
    </x:row>
    <x:row r="9">
      <x:c r="A9" s="15" t="n">
        <x:v>8</x:v>
      </x:c>
      <x:c r="B9" s="15" t="str">
        <x:v>2014-05-28</x:v>
      </x:c>
      <x:c r="C9" s="15" t="n">
        <x:v>2014</x:v>
      </x:c>
      <x:c r="D9" s="15" t="str">
        <x:v>Business</x:v>
      </x:c>
      <x:c r="E9" s="15" t="str">
        <x:v>Overseas Treasure Finding</x:v>
      </x:c>
      <x:c r="F9" s="15" t="str"/>
      <x:c r="G9" s="15" t="str">
        <x:v>Shandong, China</x:v>
      </x:c>
      <x:c r="H9" s="15" t="str">
        <x:v>East Asia</x:v>
      </x:c>
      <x:c r="I9" s="15" t="str">
        <x:v>Antiques business owned by convicted trafficker Zhifei Li</x:v>
      </x:c>
      <x:c r="J9" s="15" t="str">
        <x:v>Connected Entity</x:v>
      </x:c>
      <x:c r="K9" s="15" t="str">
        <x:v>Named as the antiques business owned by Zhifei Li in the cited prosecution.</x:v>
      </x:c>
      <x:c r="L9" s="15" t="str">
        <x:v>No separate corporate conviction stated in the cited source.</x:v>
      </x:c>
      <x:c r="M9" s="15" t="str">
        <x:v>Rhinoceros horn; elephant ivory</x:v>
      </x:c>
      <x:c r="N9" s="15" t="str">
        <x:v>Business connected to Li's international wildlife trafficking activity.</x:v>
      </x:c>
      <x:c r="O9" s="15" t="str">
        <x:v>Operation Crash / Zhifei Li</x:v>
      </x:c>
      <x:c r="P9" s="15" t="str">
        <x:v>U.S. Department of Justice</x:v>
      </x:c>
      <x:c r="Q9" s="15" t="str">
        <x:v>English</x:v>
      </x:c>
      <x:c r="R9" s="15" t="str">
        <x:v>Official enforcement</x:v>
      </x:c>
      <x:c r="S9" s="15" t="str">
        <x:v>Ringleader of international rhino smuggling conspiracy sentenced to 70 months</x:v>
      </x:c>
      <x:c r="T9" s="15" t="str">
        <x:v>https://www.justice.gov/usao-sdfl/pr/ringleader-international-rhino-smuggling-conspiracy-sentenced-new-jersey-70-months</x:v>
      </x:c>
      <x:c r="U9" s="15" t="str">
        <x:v>High</x:v>
      </x:c>
      <x:c r="V9" s="15" t="str">
        <x:v>Connected business. The cited source establishes the owner's conviction, not a separate conviction of the business.</x:v>
      </x:c>
    </x:row>
    <x:row r="10">
      <x:c r="A10" s="15" t="n">
        <x:v>9</x:v>
      </x:c>
      <x:c r="B10" s="15" t="str">
        <x:v>2013-02-14</x:v>
      </x:c>
      <x:c r="C10" s="15" t="n">
        <x:v>2013</x:v>
      </x:c>
      <x:c r="D10" s="15" t="str">
        <x:v>Person</x:v>
      </x:c>
      <x:c r="E10" s="15" t="str">
        <x:v>David Hausman</x:v>
      </x:c>
      <x:c r="F10" s="15" t="str"/>
      <x:c r="G10" s="15" t="str">
        <x:v>United States</x:v>
      </x:c>
      <x:c r="H10" s="15" t="str">
        <x:v>North America</x:v>
      </x:c>
      <x:c r="I10" s="15" t="str">
        <x:v>Antiques dealer</x:v>
      </x:c>
      <x:c r="J10" s="15" t="str">
        <x:v>Sentenced/Convicted</x:v>
      </x:c>
      <x:c r="K10" s="15" t="str">
        <x:v>Convicted of obstruction and false-record offenses relating to illegal rhino horn trafficking.</x:v>
      </x:c>
      <x:c r="L10" s="15" t="str">
        <x:v>Six months' imprisonment.</x:v>
      </x:c>
      <x:c r="M10" s="15" t="str">
        <x:v>Rhinoceros horn</x:v>
      </x:c>
      <x:c r="N10" s="15" t="str">
        <x:v>Attempted to conceal illegal rhino horn activity and falsified records during an enforcement investigation.</x:v>
      </x:c>
      <x:c r="O10" s="15" t="str">
        <x:v>Operation Crash</x:v>
      </x:c>
      <x:c r="P10" s="15" t="str">
        <x:v>U.S. Department of Justice</x:v>
      </x:c>
      <x:c r="Q10" s="15" t="str">
        <x:v>English</x:v>
      </x:c>
      <x:c r="R10" s="15" t="str">
        <x:v>Official enforcement</x:v>
      </x:c>
      <x:c r="S10" s="15" t="str">
        <x:v>Antiques dealer sentenced for crimes relating to illegal rhinoceros horn trafficking</x:v>
      </x:c>
      <x:c r="T10" s="15" t="str">
        <x:v>https://www.justice.gov/usao-sdny/pr/antiques-dealer-sentenced-manhattan-federal-court-six-months-prison-crimes-relating</x:v>
      </x:c>
      <x:c r="U10" s="15" t="str">
        <x:v>High</x:v>
      </x:c>
      <x:c r="V10" s="15" t="str"/>
    </x:row>
    <x:row r="11">
      <x:c r="A11" s="15" t="n">
        <x:v>10</x:v>
      </x:c>
      <x:c r="B11" s="15" t="str">
        <x:v>2015-03-25</x:v>
      </x:c>
      <x:c r="C11" s="15" t="n">
        <x:v>2015</x:v>
      </x:c>
      <x:c r="D11" s="15" t="str">
        <x:v>Person</x:v>
      </x:c>
      <x:c r="E11" s="15" t="str">
        <x:v>Xiao Ju Guan</x:v>
      </x:c>
      <x:c r="F11" s="15" t="str">
        <x:v>Tony Guan</x:v>
      </x:c>
      <x:c r="G11" s="15" t="str">
        <x:v>Canada / United States</x:v>
      </x:c>
      <x:c r="H11" s="15" t="str">
        <x:v>North America</x:v>
      </x:c>
      <x:c r="I11" s="15" t="str">
        <x:v>Antiques dealer</x:v>
      </x:c>
      <x:c r="J11" s="15" t="str">
        <x:v>Sentenced/Convicted</x:v>
      </x:c>
      <x:c r="K11" s="15" t="str">
        <x:v>Convicted of smuggling protected wildlife products from the United States to Canada.</x:v>
      </x:c>
      <x:c r="L11" s="15" t="str">
        <x:v>30 months' imprisonment.</x:v>
      </x:c>
      <x:c r="M11" s="15" t="str">
        <x:v>Rhinoceros horn; elephant ivory; coral</x:v>
      </x:c>
      <x:c r="N11" s="15" t="str">
        <x:v>Smuggled rhino horns, elephant ivory and coral across the U.S.-Canada border.</x:v>
      </x:c>
      <x:c r="O11" s="15" t="str">
        <x:v>Bao Antiques</x:v>
      </x:c>
      <x:c r="P11" s="15" t="str">
        <x:v>U.S. Department of Justice</x:v>
      </x:c>
      <x:c r="Q11" s="15" t="str">
        <x:v>English</x:v>
      </x:c>
      <x:c r="R11" s="15" t="str">
        <x:v>Official enforcement</x:v>
      </x:c>
      <x:c r="S11" s="15" t="str">
        <x:v>Canadian antiques dealer sentenced for smuggling rhinoceros horns, elephant ivory and coral</x:v>
      </x:c>
      <x:c r="T11" s="15" t="str">
        <x:v>https://www.justice.gov/archives/opa/pr/canadian-antiques-dealer-sentenced-30-months-prison-smuggling-rhinoceros-horns-elephant-ivory</x:v>
      </x:c>
      <x:c r="U11" s="15" t="str">
        <x:v>High</x:v>
      </x:c>
      <x:c r="V11" s="15" t="str"/>
    </x:row>
    <x:row r="12">
      <x:c r="A12" s="15" t="n">
        <x:v>11</x:v>
      </x:c>
      <x:c r="B12" s="15" t="str">
        <x:v>2015-03-25</x:v>
      </x:c>
      <x:c r="C12" s="15" t="n">
        <x:v>2015</x:v>
      </x:c>
      <x:c r="D12" s="15" t="str">
        <x:v>Business</x:v>
      </x:c>
      <x:c r="E12" s="15" t="str">
        <x:v>Bao Antiques</x:v>
      </x:c>
      <x:c r="F12" s="15" t="str"/>
      <x:c r="G12" s="15" t="str">
        <x:v>Richmond, British Columbia, Canada</x:v>
      </x:c>
      <x:c r="H12" s="15" t="str">
        <x:v>North America</x:v>
      </x:c>
      <x:c r="I12" s="15" t="str">
        <x:v>Antiques business owned by Xiao Ju Guan</x:v>
      </x:c>
      <x:c r="J12" s="15" t="str">
        <x:v>Connected Entity</x:v>
      </x:c>
      <x:c r="K12" s="15" t="str">
        <x:v>Named as the business owned by convicted wildlife smuggler Xiao Ju Guan.</x:v>
      </x:c>
      <x:c r="L12" s="15" t="str">
        <x:v>No separate corporate conviction stated in the cited source.</x:v>
      </x:c>
      <x:c r="M12" s="15" t="str">
        <x:v>Rhinoceros horn; elephant ivory; coral</x:v>
      </x:c>
      <x:c r="N12" s="15" t="str">
        <x:v>Business connected to the owner's wildlife smuggling conduct.</x:v>
      </x:c>
      <x:c r="O12" s="15" t="str">
        <x:v>Xiao Ju Guan case</x:v>
      </x:c>
      <x:c r="P12" s="15" t="str">
        <x:v>U.S. Department of Justice</x:v>
      </x:c>
      <x:c r="Q12" s="15" t="str">
        <x:v>English</x:v>
      </x:c>
      <x:c r="R12" s="15" t="str">
        <x:v>Official enforcement</x:v>
      </x:c>
      <x:c r="S12" s="15" t="str">
        <x:v>Canadian antiques dealer sentenced for smuggling rhinoceros horns, elephant ivory and coral</x:v>
      </x:c>
      <x:c r="T12" s="15" t="str">
        <x:v>https://www.justice.gov/archives/opa/pr/canadian-antiques-dealer-sentenced-30-months-prison-smuggling-rhinoceros-horns-elephant-ivory</x:v>
      </x:c>
      <x:c r="U12" s="15" t="str">
        <x:v>High</x:v>
      </x:c>
      <x:c r="V12" s="15" t="str">
        <x:v>Connected business. Do not infer separate criminal liability beyond the source.</x:v>
      </x:c>
    </x:row>
    <x:row r="13">
      <x:c r="A13" s="15" t="n">
        <x:v>12</x:v>
      </x:c>
      <x:c r="B13" s="15" t="str">
        <x:v>2015-05-20</x:v>
      </x:c>
      <x:c r="C13" s="15" t="n">
        <x:v>2015</x:v>
      </x:c>
      <x:c r="D13" s="15" t="str">
        <x:v>Person</x:v>
      </x:c>
      <x:c r="E13" s="15" t="str">
        <x:v>Christopher Hayes</x:v>
      </x:c>
      <x:c r="F13" s="15" t="str"/>
      <x:c r="G13" s="15" t="str">
        <x:v>United States</x:v>
      </x:c>
      <x:c r="H13" s="15" t="str">
        <x:v>North America</x:v>
      </x:c>
      <x:c r="I13" s="15" t="str">
        <x:v>Auction / estate business owner</x:v>
      </x:c>
      <x:c r="J13" s="15" t="str">
        <x:v>Sentenced/Convicted</x:v>
      </x:c>
      <x:c r="K13" s="15" t="str">
        <x:v>Convicted in a wildlife smuggling conspiracy.</x:v>
      </x:c>
      <x:c r="L13" s="15" t="str">
        <x:v>36 months' imprisonment.</x:v>
      </x:c>
      <x:c r="M13" s="15" t="str">
        <x:v>Rhinoceros horn; elephant ivory; coral</x:v>
      </x:c>
      <x:c r="N13" s="15" t="str">
        <x:v>Bought, sold and smuggled protected wildlife products through an estate-buying business.</x:v>
      </x:c>
      <x:c r="O13" s="15" t="str">
        <x:v>Elite Estate Buyers Inc.</x:v>
      </x:c>
      <x:c r="P13" s="15" t="str">
        <x:v>U.S. Department of Justice</x:v>
      </x:c>
      <x:c r="Q13" s="15" t="str">
        <x:v>English</x:v>
      </x:c>
      <x:c r="R13" s="15" t="str">
        <x:v>Official enforcement</x:v>
      </x:c>
      <x:c r="S13" s="15" t="str">
        <x:v>President of Florida auction house sentenced for wildlife smuggling conspiracy</x:v>
      </x:c>
      <x:c r="T13" s="15" t="str">
        <x:v>https://www.justice.gov/usao-sdfl/pr/president-florida-auction-house-sentenced-36-months-wildlife-smuggling-conspiracy</x:v>
      </x:c>
      <x:c r="U13" s="15" t="str">
        <x:v>High</x:v>
      </x:c>
      <x:c r="V13" s="15" t="str"/>
    </x:row>
    <x:row r="14">
      <x:c r="A14" s="15" t="n">
        <x:v>13</x:v>
      </x:c>
      <x:c r="B14" s="15" t="str">
        <x:v>2015-05-20</x:v>
      </x:c>
      <x:c r="C14" s="15" t="n">
        <x:v>2015</x:v>
      </x:c>
      <x:c r="D14" s="15" t="str">
        <x:v>Company</x:v>
      </x:c>
      <x:c r="E14" s="15" t="str">
        <x:v>Elite Estate Buyers Inc.</x:v>
      </x:c>
      <x:c r="F14" s="15" t="str"/>
      <x:c r="G14" s="15" t="str">
        <x:v>United States</x:v>
      </x:c>
      <x:c r="H14" s="15" t="str">
        <x:v>North America</x:v>
      </x:c>
      <x:c r="I14" s="15" t="str">
        <x:v>Corporate defendant</x:v>
      </x:c>
      <x:c r="J14" s="15" t="str">
        <x:v>Sentenced/Convicted</x:v>
      </x:c>
      <x:c r="K14" s="15" t="str">
        <x:v>Corporate defendant convicted in a wildlife smuggling conspiracy.</x:v>
      </x:c>
      <x:c r="L14" s="15" t="str">
        <x:v>$1.5 million fine and five-year ban from wildlife trade reported.</x:v>
      </x:c>
      <x:c r="M14" s="15" t="str">
        <x:v>Rhinoceros horn; elephant ivory; coral</x:v>
      </x:c>
      <x:c r="N14" s="15" t="str">
        <x:v>Company used in illegal wildlife buying, selling and smuggling.</x:v>
      </x:c>
      <x:c r="O14" s="15" t="str">
        <x:v>Christopher Hayes case</x:v>
      </x:c>
      <x:c r="P14" s="15" t="str">
        <x:v>U.S. Department of Justice</x:v>
      </x:c>
      <x:c r="Q14" s="15" t="str">
        <x:v>English</x:v>
      </x:c>
      <x:c r="R14" s="15" t="str">
        <x:v>Official enforcement</x:v>
      </x:c>
      <x:c r="S14" s="15" t="str">
        <x:v>President of Florida auction house sentenced for wildlife smuggling conspiracy</x:v>
      </x:c>
      <x:c r="T14" s="15" t="str">
        <x:v>https://www.justice.gov/usao-sdfl/pr/president-florida-auction-house-sentenced-36-months-wildlife-smuggling-conspiracy</x:v>
      </x:c>
      <x:c r="U14" s="15" t="str">
        <x:v>High</x:v>
      </x:c>
      <x:c r="V14" s="15" t="str"/>
    </x:row>
    <x:row r="15">
      <x:c r="A15" s="15" t="n">
        <x:v>14</x:v>
      </x:c>
      <x:c r="B15" s="15" t="str">
        <x:v>2015-05-14</x:v>
      </x:c>
      <x:c r="C15" s="15" t="n">
        <x:v>2015</x:v>
      </x:c>
      <x:c r="D15" s="15" t="str">
        <x:v>Person</x:v>
      </x:c>
      <x:c r="E15" s="15" t="str">
        <x:v>Ning Qiu</x:v>
      </x:c>
      <x:c r="F15" s="15" t="str"/>
      <x:c r="G15" s="15" t="str">
        <x:v>United States / China</x:v>
      </x:c>
      <x:c r="H15" s="15" t="str">
        <x:v>North America / East Asia</x:v>
      </x:c>
      <x:c r="I15" s="15" t="str">
        <x:v>Antiques appraiser</x:v>
      </x:c>
      <x:c r="J15" s="15" t="str">
        <x:v>Sentenced/Convicted</x:v>
      </x:c>
      <x:c r="K15" s="15" t="str">
        <x:v>Sentenced for participation in a rhino horn and ivory smuggling conspiracy.</x:v>
      </x:c>
      <x:c r="L15" s="15" t="str">
        <x:v>25 months' imprisonment.</x:v>
      </x:c>
      <x:c r="M15" s="15" t="str">
        <x:v>Rhinoceros horn; elephant ivory</x:v>
      </x:c>
      <x:c r="N15" s="15" t="str">
        <x:v>Helped source, purchase and move protected wildlife products for an international trafficking network.</x:v>
      </x:c>
      <x:c r="O15" s="15" t="str">
        <x:v>Operation Crash / Zhifei Li network</x:v>
      </x:c>
      <x:c r="P15" s="15" t="str">
        <x:v>U.S. Department of Justice</x:v>
      </x:c>
      <x:c r="Q15" s="15" t="str">
        <x:v>English</x:v>
      </x:c>
      <x:c r="R15" s="15" t="str">
        <x:v>Official enforcement</x:v>
      </x:c>
      <x:c r="S15" s="15" t="str">
        <x:v>Texas antiques appraiser sentenced in rhino and ivory smuggling conspiracy</x:v>
      </x:c>
      <x:c r="T15" s="15" t="str">
        <x:v>https://www.justice.gov/archives/opa/pr/texas-antiques-appraiser-sentenced-25-months-prison-rhino-and-ivory-smuggling-conspiracy</x:v>
      </x:c>
      <x:c r="U15" s="15" t="str">
        <x:v>High</x:v>
      </x:c>
      <x:c r="V15" s="15" t="str"/>
    </x:row>
    <x:row r="16">
      <x:c r="A16" s="15" t="n">
        <x:v>15</x:v>
      </x:c>
      <x:c r="B16" s="15" t="str">
        <x:v>2015-11-13</x:v>
      </x:c>
      <x:c r="C16" s="15" t="n">
        <x:v>2015</x:v>
      </x:c>
      <x:c r="D16" s="15" t="str">
        <x:v>Person</x:v>
      </x:c>
      <x:c r="E16" s="15" t="str">
        <x:v>Linxun Liao</x:v>
      </x:c>
      <x:c r="F16" s="15" t="str"/>
      <x:c r="G16" s="15" t="str">
        <x:v>Canada / United States / China</x:v>
      </x:c>
      <x:c r="H16" s="15" t="str">
        <x:v>North America / East Asia</x:v>
      </x:c>
      <x:c r="I16" s="15" t="str">
        <x:v>Wildlife smuggler</x:v>
      </x:c>
      <x:c r="J16" s="15" t="str">
        <x:v>Sentenced/Convicted</x:v>
      </x:c>
      <x:c r="K16" s="15" t="str">
        <x:v>Convicted of smuggling carved rhinoceros horn objects from the United States toward China.</x:v>
      </x:c>
      <x:c r="L16" s="15" t="str">
        <x:v>Two years' imprisonment.</x:v>
      </x:c>
      <x:c r="M16" s="15" t="str">
        <x:v>Rhinoceros horn</x:v>
      </x:c>
      <x:c r="N16" s="15" t="str">
        <x:v>Smuggled 16 rhino horn libation cups valued at more than $1 million.</x:v>
      </x:c>
      <x:c r="O16" s="15" t="str">
        <x:v>Operation Crash</x:v>
      </x:c>
      <x:c r="P16" s="15" t="str">
        <x:v>U.S. Department of Justice</x:v>
      </x:c>
      <x:c r="Q16" s="15" t="str">
        <x:v>English</x:v>
      </x:c>
      <x:c r="R16" s="15" t="str">
        <x:v>Official enforcement</x:v>
      </x:c>
      <x:c r="S16" s="15" t="str">
        <x:v>Antiques dealer sentenced for smuggling cups made from rhinoceros horns</x:v>
      </x:c>
      <x:c r="T16" s="15" t="str">
        <x:v>https://www.justice.gov/archives/opa/pr/antiques-dealer-sentenced-manhattan-two-years-prison-smuggling-cups-made-rhinoceros-horns</x:v>
      </x:c>
      <x:c r="U16" s="15" t="str">
        <x:v>High</x:v>
      </x:c>
      <x:c r="V16" s="15" t="str"/>
    </x:row>
    <x:row r="17">
      <x:c r="A17" s="15" t="n">
        <x:v>16</x:v>
      </x:c>
      <x:c r="B17" s="15" t="str">
        <x:v>2016-05-09</x:v>
      </x:c>
      <x:c r="C17" s="15" t="n">
        <x:v>2016</x:v>
      </x:c>
      <x:c r="D17" s="15" t="str">
        <x:v>Person</x:v>
      </x:c>
      <x:c r="E17" s="15" t="str">
        <x:v>Yiwei Zheng</x:v>
      </x:c>
      <x:c r="F17" s="15" t="str"/>
      <x:c r="G17" s="15" t="str">
        <x:v>United States / China</x:v>
      </x:c>
      <x:c r="H17" s="15" t="str">
        <x:v>North America / East Asia</x:v>
      </x:c>
      <x:c r="I17" s="15" t="str">
        <x:v>Antiques seller / university professor</x:v>
      </x:c>
      <x:c r="J17" s="15" t="str">
        <x:v>Sentenced/Convicted</x:v>
      </x:c>
      <x:c r="K17" s="15" t="str">
        <x:v>Convicted in a long-running illegal ivory and rhino horn trade case.</x:v>
      </x:c>
      <x:c r="L17" s="15" t="str">
        <x:v>$500,000 fine reported; criminal sentence imposed.</x:v>
      </x:c>
      <x:c r="M17" s="15" t="str">
        <x:v>Elephant ivory; rhinoceros horn</x:v>
      </x:c>
      <x:c r="N17" s="15" t="str">
        <x:v>Conduct involved hundreds of wildlife-item sales and unlawful exports.</x:v>
      </x:c>
      <x:c r="O17" s="15" t="str"/>
      <x:c r="P17" s="15" t="str">
        <x:v>U.S. Department of Justice</x:v>
      </x:c>
      <x:c r="Q17" s="15" t="str">
        <x:v>English</x:v>
      </x:c>
      <x:c r="R17" s="15" t="str">
        <x:v>Official enforcement</x:v>
      </x:c>
      <x:c r="S17" s="15" t="str">
        <x:v>Yiwei Zheng sentenced for smuggling elephant ivory and rhinoceros horns</x:v>
      </x:c>
      <x:c r="T17" s="15" t="str">
        <x:v>https://www.justice.gov/usao-mn/pr/yiwei-zheng-sentenced-pay-500000-fine-smuggling-elephant-ivory-and-rhinoceros-horns</x:v>
      </x:c>
      <x:c r="U17" s="15" t="str">
        <x:v>High</x:v>
      </x:c>
      <x:c r="V17" s="15" t="str"/>
    </x:row>
    <x:row r="18">
      <x:c r="A18" s="15" t="n">
        <x:v>17</x:v>
      </x:c>
      <x:c r="B18" s="15" t="str">
        <x:v>2016-06-22</x:v>
      </x:c>
      <x:c r="C18" s="15" t="n">
        <x:v>2016</x:v>
      </x:c>
      <x:c r="D18" s="15" t="str">
        <x:v>Person</x:v>
      </x:c>
      <x:c r="E18" s="15" t="str">
        <x:v>Joseph Chait</x:v>
      </x:c>
      <x:c r="F18" s="15" t="str"/>
      <x:c r="G18" s="15" t="str">
        <x:v>United States</x:v>
      </x:c>
      <x:c r="H18" s="15" t="str">
        <x:v>North America</x:v>
      </x:c>
      <x:c r="I18" s="15" t="str">
        <x:v>Senior auction administrator</x:v>
      </x:c>
      <x:c r="J18" s="15" t="str">
        <x:v>Sentenced/Convicted</x:v>
      </x:c>
      <x:c r="K18" s="15" t="str">
        <x:v>Convicted of conspiracy to smuggle wildlife products through the auction trade.</x:v>
      </x:c>
      <x:c r="L18" s="15" t="str">
        <x:v>One year and one day in prison and $10,000 fine.</x:v>
      </x:c>
      <x:c r="M18" s="15" t="str">
        <x:v>Rhinoceros horn; elephant ivory; coral</x:v>
      </x:c>
      <x:c r="N18" s="15" t="str">
        <x:v>Conspired to smuggle protected wildlife products valued at at least $1 million.</x:v>
      </x:c>
      <x:c r="O18" s="15" t="str">
        <x:v>I.M. Chait Gallery</x:v>
      </x:c>
      <x:c r="P18" s="15" t="str">
        <x:v>U.S. Department of Justice</x:v>
      </x:c>
      <x:c r="Q18" s="15" t="str">
        <x:v>English</x:v>
      </x:c>
      <x:c r="R18" s="15" t="str">
        <x:v>Official enforcement</x:v>
      </x:c>
      <x:c r="S18" s="15" t="str">
        <x:v>Senior auction official sentenced to prison for wildlife smuggling</x:v>
      </x:c>
      <x:c r="T18" s="15" t="str">
        <x:v>https://www.justice.gov/usao-sdny/pr/senior-auction-official-beverly-hills-auction-house-sentenced-prison-wildlife</x:v>
      </x:c>
      <x:c r="U18" s="15" t="str">
        <x:v>High</x:v>
      </x:c>
      <x:c r="V18" s="15" t="str"/>
    </x:row>
    <x:row r="19">
      <x:c r="A19" s="15" t="n">
        <x:v>18</x:v>
      </x:c>
      <x:c r="B19" s="15" t="str">
        <x:v>2016-06-22</x:v>
      </x:c>
      <x:c r="C19" s="15" t="n">
        <x:v>2016</x:v>
      </x:c>
      <x:c r="D19" s="15" t="str">
        <x:v>Business</x:v>
      </x:c>
      <x:c r="E19" s="15" t="str">
        <x:v>I.M. Chait Gallery</x:v>
      </x:c>
      <x:c r="F19" s="15" t="str"/>
      <x:c r="G19" s="15" t="str">
        <x:v>Beverly Hills, United States</x:v>
      </x:c>
      <x:c r="H19" s="15" t="str">
        <x:v>North America</x:v>
      </x:c>
      <x:c r="I19" s="15" t="str">
        <x:v>Auction house connected to convicted employee</x:v>
      </x:c>
      <x:c r="J19" s="15" t="str">
        <x:v>Connected Entity</x:v>
      </x:c>
      <x:c r="K19" s="15" t="str">
        <x:v>Named as the auction house where Joseph Chait worked.</x:v>
      </x:c>
      <x:c r="L19" s="15" t="str">
        <x:v>No separate conviction of the gallery stated in the cited source.</x:v>
      </x:c>
      <x:c r="M19" s="15" t="str">
        <x:v>Rhinoceros horn; elephant ivory; coral</x:v>
      </x:c>
      <x:c r="N19" s="15" t="str">
        <x:v>Connected to wildlife objects handled in the employee's convicted smuggling conspiracy.</x:v>
      </x:c>
      <x:c r="O19" s="15" t="str">
        <x:v>Joseph Chait case</x:v>
      </x:c>
      <x:c r="P19" s="15" t="str">
        <x:v>U.S. Department of Justice</x:v>
      </x:c>
      <x:c r="Q19" s="15" t="str">
        <x:v>English</x:v>
      </x:c>
      <x:c r="R19" s="15" t="str">
        <x:v>Official enforcement</x:v>
      </x:c>
      <x:c r="S19" s="15" t="str">
        <x:v>Senior auction official sentenced to prison for wildlife smuggling</x:v>
      </x:c>
      <x:c r="T19" s="15" t="str">
        <x:v>https://www.justice.gov/usao-sdny/pr/senior-auction-official-beverly-hills-auction-house-sentenced-prison-wildlife</x:v>
      </x:c>
      <x:c r="U19" s="15" t="str">
        <x:v>High</x:v>
      </x:c>
      <x:c r="V19" s="15" t="str">
        <x:v>Connected business only; the source does not state the gallery itself was convicted.</x:v>
      </x:c>
    </x:row>
    <x:row r="20">
      <x:c r="A20" s="15" t="n">
        <x:v>19</x:v>
      </x:c>
      <x:c r="B20" s="15" t="str">
        <x:v>2017-02-22</x:v>
      </x:c>
      <x:c r="C20" s="15" t="n">
        <x:v>2017</x:v>
      </x:c>
      <x:c r="D20" s="15" t="str">
        <x:v>Person</x:v>
      </x:c>
      <x:c r="E20" s="15" t="str">
        <x:v>Jacob Chait</x:v>
      </x:c>
      <x:c r="F20" s="15" t="str"/>
      <x:c r="G20" s="15" t="str">
        <x:v>United States</x:v>
      </x:c>
      <x:c r="H20" s="15" t="str">
        <x:v>North America</x:v>
      </x:c>
      <x:c r="I20" s="15" t="str">
        <x:v>Auctioneer / head of acquisitions</x:v>
      </x:c>
      <x:c r="J20" s="15" t="str">
        <x:v>Charged/Indicted</x:v>
      </x:c>
      <x:c r="K20" s="15" t="str">
        <x:v>Indicted for an alleged conspiracy to smuggle rhinoceros horns.</x:v>
      </x:c>
      <x:c r="L20" s="15" t="str">
        <x:v>Case status in this row reflects the 2017 indictment source.</x:v>
      </x:c>
      <x:c r="M20" s="15" t="str">
        <x:v>Rhinoceros horn</x:v>
      </x:c>
      <x:c r="N20" s="15" t="str">
        <x:v>Prosecutors alleged a conspiracy involving 15 rhino horns valued at approximately $2.4 million.</x:v>
      </x:c>
      <x:c r="O20" s="15" t="str">
        <x:v>I.M. Chait Gallery</x:v>
      </x:c>
      <x:c r="P20" s="15" t="str">
        <x:v>U.S. Department of Justice</x:v>
      </x:c>
      <x:c r="Q20" s="15" t="str">
        <x:v>English</x:v>
      </x:c>
      <x:c r="R20" s="15" t="str">
        <x:v>Official enforcement</x:v>
      </x:c>
      <x:c r="S20" s="15" t="str">
        <x:v>Beverly Hills auctioneer charged in rhinoceros horn smuggling conspiracy</x:v>
      </x:c>
      <x:c r="T20" s="15" t="str">
        <x:v>https://www.justice.gov/usao-sdny/pr/beverly-hills-auctioneer-charged-rhinoceros-horn-smuggling-conspiracy</x:v>
      </x:c>
      <x:c r="U20" s="15" t="str">
        <x:v>High</x:v>
      </x:c>
      <x:c r="V20" s="15" t="str">
        <x:v>Indictment is an allegation; guilt should not be inferred from this source alone.</x:v>
      </x:c>
    </x:row>
    <x:row r="21">
      <x:c r="A21" s="15" t="n">
        <x:v>20</x:v>
      </x:c>
      <x:c r="B21" s="15" t="str">
        <x:v>2017-09-18</x:v>
      </x:c>
      <x:c r="C21" s="15" t="n">
        <x:v>2017</x:v>
      </x:c>
      <x:c r="D21" s="15" t="str">
        <x:v>Person</x:v>
      </x:c>
      <x:c r="E21" s="15" t="str">
        <x:v>Fengyi Zhou</x:v>
      </x:c>
      <x:c r="F21" s="15" t="str"/>
      <x:c r="G21" s="15" t="str">
        <x:v>United States</x:v>
      </x:c>
      <x:c r="H21" s="15" t="str">
        <x:v>North America</x:v>
      </x:c>
      <x:c r="I21" s="15" t="str">
        <x:v>Asian art dealer</x:v>
      </x:c>
      <x:c r="J21" s="15" t="str">
        <x:v>Sentenced/Convicted</x:v>
      </x:c>
      <x:c r="K21" s="15" t="str">
        <x:v>Convicted of trafficking black rhinoceros horns.</x:v>
      </x:c>
      <x:c r="L21" s="15" t="str">
        <x:v>Two years' imprisonment.</x:v>
      </x:c>
      <x:c r="M21" s="15" t="str">
        <x:v>Black rhinoceros horn</x:v>
      </x:c>
      <x:c r="N21" s="15" t="str">
        <x:v>Bought and sold protected rhino horns through an Asian art business.</x:v>
      </x:c>
      <x:c r="O21" s="15" t="str">
        <x:v>Operation Crash</x:v>
      </x:c>
      <x:c r="P21" s="15" t="str">
        <x:v>U.S. Department of Justice</x:v>
      </x:c>
      <x:c r="Q21" s="15" t="str">
        <x:v>English</x:v>
      </x:c>
      <x:c r="R21" s="15" t="str">
        <x:v>Official enforcement</x:v>
      </x:c>
      <x:c r="S21" s="15" t="str">
        <x:v>Long Island man sentenced for trafficking rhinoceros horns</x:v>
      </x:c>
      <x:c r="T21" s="15" t="str">
        <x:v>https://www.justice.gov/archives/opa/pr/long-island-man-sentenced-two-years-trafficking-rhinoceros-horns</x:v>
      </x:c>
      <x:c r="U21" s="15" t="str">
        <x:v>High</x:v>
      </x:c>
      <x:c r="V21" s="15" t="str"/>
    </x:row>
    <x:row r="22">
      <x:c r="A22" s="15" t="n">
        <x:v>21</x:v>
      </x:c>
      <x:c r="B22" s="15" t="str">
        <x:v>2017-11-14</x:v>
      </x:c>
      <x:c r="C22" s="15" t="n">
        <x:v>2017</x:v>
      </x:c>
      <x:c r="D22" s="15" t="str">
        <x:v>Person</x:v>
      </x:c>
      <x:c r="E22" s="15" t="str">
        <x:v>Michael Hegarty</x:v>
      </x:c>
      <x:c r="F22" s="15" t="str"/>
      <x:c r="G22" s="15" t="str">
        <x:v>Ireland / United States</x:v>
      </x:c>
      <x:c r="H22" s="15" t="str">
        <x:v>Europe / North America</x:v>
      </x:c>
      <x:c r="I22" s="15" t="str">
        <x:v>Wildlife trafficker</x:v>
      </x:c>
      <x:c r="J22" s="15" t="str">
        <x:v>Sentenced/Convicted</x:v>
      </x:c>
      <x:c r="K22" s="15" t="str">
        <x:v>Convicted for facilitating trafficking of a rhinoceros-horn libation cup.</x:v>
      </x:c>
      <x:c r="L22" s="15" t="str">
        <x:v>18 months' imprisonment.</x:v>
      </x:c>
      <x:c r="M22" s="15" t="str">
        <x:v>Rhinoceros horn</x:v>
      </x:c>
      <x:c r="N22" s="15" t="str">
        <x:v>Facilitated transportation and concealment of a carved rhino horn object.</x:v>
      </x:c>
      <x:c r="O22" s="15" t="str">
        <x:v>Rathkeale Rovers</x:v>
      </x:c>
      <x:c r="P22" s="15" t="str">
        <x:v>U.S. Department of Justice</x:v>
      </x:c>
      <x:c r="Q22" s="15" t="str">
        <x:v>English</x:v>
      </x:c>
      <x:c r="R22" s="15" t="str">
        <x:v>Official enforcement</x:v>
      </x:c>
      <x:c r="S22" s="15" t="str">
        <x:v>Irish national sentenced for trafficking endangered rhinoceros horn libation cup</x:v>
      </x:c>
      <x:c r="T22" s="15" t="str">
        <x:v>https://www.justice.gov/archives/opa/pr/irish-national-sentenced-18-months-prison-trafficking-endangered-rhinoceros-horn-libation-cup</x:v>
      </x:c>
      <x:c r="U22" s="15" t="str">
        <x:v>High</x:v>
      </x:c>
      <x:c r="V22" s="15" t="str"/>
    </x:row>
    <x:row r="23">
      <x:c r="A23" s="15" t="n">
        <x:v>22</x:v>
      </x:c>
      <x:c r="B23" s="15" t="str">
        <x:v>2017-11-14</x:v>
      </x:c>
      <x:c r="C23" s="15" t="n">
        <x:v>2017</x:v>
      </x:c>
      <x:c r="D23" s="15" t="str">
        <x:v>Network</x:v>
      </x:c>
      <x:c r="E23" s="15" t="str">
        <x:v>Rathkeale Rovers</x:v>
      </x:c>
      <x:c r="F23" s="15" t="str"/>
      <x:c r="G23" s="15" t="str">
        <x:v>Ireland / transnational</x:v>
      </x:c>
      <x:c r="H23" s="15" t="str">
        <x:v>Europe / Global</x:v>
      </x:c>
      <x:c r="I23" s="15" t="str">
        <x:v>Transnational organized crime network</x:v>
      </x:c>
      <x:c r="J23" s="15" t="str">
        <x:v>Investigated/Alleged</x:v>
      </x:c>
      <x:c r="K23" s="15" t="str">
        <x:v>Named by U.S. prosecutors as a transnational organized crime syndicate associated with rhino-horn trafficking.</x:v>
      </x:c>
      <x:c r="L23" s="15" t="str"/>
      <x:c r="M23" s="15" t="str">
        <x:v>Rhinoceros horn</x:v>
      </x:c>
      <x:c r="N23" s="15" t="str">
        <x:v>Prosecutors linked the network to trafficking endangered rhino products worldwide.</x:v>
      </x:c>
      <x:c r="O23" s="15" t="str">
        <x:v>Michael Hegarty case</x:v>
      </x:c>
      <x:c r="P23" s="15" t="str">
        <x:v>U.S. Department of Justice</x:v>
      </x:c>
      <x:c r="Q23" s="15" t="str">
        <x:v>English</x:v>
      </x:c>
      <x:c r="R23" s="15" t="str">
        <x:v>Official enforcement</x:v>
      </x:c>
      <x:c r="S23" s="15" t="str">
        <x:v>Irish national sentenced for trafficking endangered rhinoceros horn libation cup</x:v>
      </x:c>
      <x:c r="T23" s="15" t="str">
        <x:v>https://www.justice.gov/archives/opa/pr/irish-national-sentenced-18-months-prison-trafficking-endangered-rhinoceros-horn-libation-cup</x:v>
      </x:c>
      <x:c r="U23" s="15" t="str">
        <x:v>High</x:v>
      </x:c>
      <x:c r="V23" s="15" t="str">
        <x:v>Network-level characterization in the cited prosecution; not a corporate criminal judgment.</x:v>
      </x:c>
    </x:row>
    <x:row r="24">
      <x:c r="A24" s="15" t="n">
        <x:v>23</x:v>
      </x:c>
      <x:c r="B24" s="15" t="str">
        <x:v>2013-11-13</x:v>
      </x:c>
      <x:c r="C24" s="15" t="n">
        <x:v>2013</x:v>
      </x:c>
      <x:c r="D24" s="15" t="str">
        <x:v>Person</x:v>
      </x:c>
      <x:c r="E24" s="15" t="str">
        <x:v>Vixay Keosavang</x:v>
      </x:c>
      <x:c r="F24" s="15" t="str"/>
      <x:c r="G24" s="15" t="str">
        <x:v>Laos</x:v>
      </x:c>
      <x:c r="H24" s="15" t="str">
        <x:v>Southeast Asia</x:v>
      </x:c>
      <x:c r="I24" s="15" t="str">
        <x:v>Alleged leader of wildlife trafficking network</x:v>
      </x:c>
      <x:c r="J24" s="15" t="str">
        <x:v>Wanted/Reward</x:v>
      </x:c>
      <x:c r="K24" s="15" t="str">
        <x:v>Identified by the U.S. State Department as the believed leader of the Xaysavang Network.</x:v>
      </x:c>
      <x:c r="L24" s="15" t="str">
        <x:v>U.S. reward of up to $1 million offered for information leading to dismantling the network.</x:v>
      </x:c>
      <x:c r="M24" s="15" t="str">
        <x:v>Elephants; rhinoceroses; pangolins; other wildlife</x:v>
      </x:c>
      <x:c r="N24" s="15" t="str">
        <x:v>Alleged leadership of a transnational network facilitating large-scale wildlife trafficking.</x:v>
      </x:c>
      <x:c r="O24" s="15" t="str">
        <x:v>Xaysavang Network</x:v>
      </x:c>
      <x:c r="P24" s="15" t="str">
        <x:v>U.S. Department of State</x:v>
      </x:c>
      <x:c r="Q24" s="15" t="str">
        <x:v>English</x:v>
      </x:c>
      <x:c r="R24" s="15" t="str">
        <x:v>Government / transnational organized crime reward</x:v>
      </x:c>
      <x:c r="S24" s="15" t="str">
        <x:v>Xaysavang Network</x:v>
      </x:c>
      <x:c r="T24" s="15" t="str">
        <x:v>https://www.state.gov/transnational-organized-crime-rewards-program/xaysavang-network</x:v>
      </x:c>
      <x:c r="U24" s="15" t="str">
        <x:v>High</x:v>
      </x:c>
      <x:c r="V24" s="15" t="str">
        <x:v>Reward-program and intelligence designation; not itself a conviction.</x:v>
      </x:c>
    </x:row>
    <x:row r="25">
      <x:c r="A25" s="15" t="n">
        <x:v>24</x:v>
      </x:c>
      <x:c r="B25" s="15" t="str">
        <x:v>2013-11-13</x:v>
      </x:c>
      <x:c r="C25" s="15" t="n">
        <x:v>2013</x:v>
      </x:c>
      <x:c r="D25" s="15" t="str">
        <x:v>Network</x:v>
      </x:c>
      <x:c r="E25" s="15" t="str">
        <x:v>Xaysavang Network</x:v>
      </x:c>
      <x:c r="F25" s="15" t="str"/>
      <x:c r="G25" s="15" t="str">
        <x:v>Laos / transnational</x:v>
      </x:c>
      <x:c r="H25" s="15" t="str">
        <x:v>Southeast Asia / Africa / Global</x:v>
      </x:c>
      <x:c r="I25" s="15" t="str">
        <x:v>Wildlife trafficking syndicate</x:v>
      </x:c>
      <x:c r="J25" s="15" t="str">
        <x:v>Wanted/Reward</x:v>
      </x:c>
      <x:c r="K25" s="15" t="str">
        <x:v>Designated by the U.S. State Department as an international wildlife trafficking syndicate.</x:v>
      </x:c>
      <x:c r="L25" s="15" t="str">
        <x:v>U.S. reward offered for information leading to dismantling the network.</x:v>
      </x:c>
      <x:c r="M25" s="15" t="str">
        <x:v>Elephants; rhinoceroses; pangolins; other wildlife</x:v>
      </x:c>
      <x:c r="N25" s="15" t="str">
        <x:v>Reported to facilitate killing and trafficking of protected species across borders.</x:v>
      </x:c>
      <x:c r="O25" s="15" t="str"/>
      <x:c r="P25" s="15" t="str">
        <x:v>U.S. Department of State</x:v>
      </x:c>
      <x:c r="Q25" s="15" t="str">
        <x:v>English</x:v>
      </x:c>
      <x:c r="R25" s="15" t="str">
        <x:v>Government / transnational organized crime reward</x:v>
      </x:c>
      <x:c r="S25" s="15" t="str">
        <x:v>Xaysavang Network</x:v>
      </x:c>
      <x:c r="T25" s="15" t="str">
        <x:v>https://www.state.gov/transnational-organized-crime-rewards-program/xaysavang-network</x:v>
      </x:c>
      <x:c r="U25" s="15" t="str">
        <x:v>High</x:v>
      </x:c>
      <x:c r="V25" s="15" t="str">
        <x:v>Network designation does not mean every associated person or business was convicted.</x:v>
      </x:c>
    </x:row>
    <x:row r="26">
      <x:c r="A26" s="15" t="n">
        <x:v>25</x:v>
      </x:c>
      <x:c r="B26" s="15" t="str">
        <x:v>2014-02-01</x:v>
      </x:c>
      <x:c r="C26" s="15" t="n">
        <x:v>2014</x:v>
      </x:c>
      <x:c r="D26" s="15" t="str">
        <x:v>Company</x:v>
      </x:c>
      <x:c r="E26" s="15" t="str">
        <x:v>Xaysavang Trading Export Import Company Limited</x:v>
      </x:c>
      <x:c r="F26" s="15" t="str"/>
      <x:c r="G26" s="15" t="str">
        <x:v>Laos</x:v>
      </x:c>
      <x:c r="H26" s="15" t="str">
        <x:v>Southeast Asia</x:v>
      </x:c>
      <x:c r="I26" s="15" t="str">
        <x:v>Company associated with Xaysavang network</x:v>
      </x:c>
      <x:c r="J26" s="15" t="str">
        <x:v>Connected Entity</x:v>
      </x:c>
      <x:c r="K26" s="15" t="str">
        <x:v>Named by EIA reporting as the import-export company from which the Xaysavang Network took its name.</x:v>
      </x:c>
      <x:c r="L26" s="15" t="str"/>
      <x:c r="M26" s="15" t="str">
        <x:v>Pangolins; primates; reptiles; rhinoceroses; elephants; lions; tigers</x:v>
      </x:c>
      <x:c r="N26" s="15" t="str">
        <x:v>Company consignments and commercial activity were described in reporting on the network.</x:v>
      </x:c>
      <x:c r="O26" s="15" t="str">
        <x:v>Xaysavang Network</x:v>
      </x:c>
      <x:c r="P26" s="15" t="str">
        <x:v>Environmental Investigation Agency</x:v>
      </x:c>
      <x:c r="Q26" s="15" t="str">
        <x:v>English</x:v>
      </x:c>
      <x:c r="R26" s="15" t="str">
        <x:v>NGO investigation</x:v>
      </x:c>
      <x:c r="S26" s="15" t="str">
        <x:v>Vixay Keosavang: an untouchable kingpin of wildlife crime?</x:v>
      </x:c>
      <x:c r="T26" s="15" t="str">
        <x:v>https://eia-international.org/blog/vixay-keosavang-an-untouchable-kingpin-of-wildlife-crime/</x:v>
      </x:c>
      <x:c r="U26" s="15" t="str">
        <x:v>Medium</x:v>
      </x:c>
      <x:c r="V26" s="15" t="str">
        <x:v>NGO investigative reporting. This row records the reported connection, not a separate conviction of the company.</x:v>
      </x:c>
    </x:row>
    <x:row r="27">
      <x:c r="A27" s="15" t="n">
        <x:v>26</x:v>
      </x:c>
      <x:c r="B27" s="15" t="str">
        <x:v>2014-02-01</x:v>
      </x:c>
      <x:c r="C27" s="15" t="n">
        <x:v>2014</x:v>
      </x:c>
      <x:c r="D27" s="15" t="str">
        <x:v>Person</x:v>
      </x:c>
      <x:c r="E27" s="15" t="str">
        <x:v>Punpitak Chunchom</x:v>
      </x:c>
      <x:c r="F27" s="15" t="str"/>
      <x:c r="G27" s="15" t="str">
        <x:v>Thailand</x:v>
      </x:c>
      <x:c r="H27" s="15" t="str">
        <x:v>Southeast Asia</x:v>
      </x:c>
      <x:c r="I27" s="15" t="str">
        <x:v>Alleged Xaysavang-network operative</x:v>
      </x:c>
      <x:c r="J27" s="15" t="str">
        <x:v>Charges Withdrawn/Dismissed</x:v>
      </x:c>
      <x:c r="K27" s="15" t="str">
        <x:v>EIA reported that he was arrested in 2011 with Chumlong Lemtongthai; charges were withdrawn after Lemtongthai's guilty plea, and he was later wanted in connection with the network.</x:v>
      </x:c>
      <x:c r="L27" s="15" t="str">
        <x:v>Charges in the South African case were reported withdrawn.</x:v>
      </x:c>
      <x:c r="M27" s="15" t="str">
        <x:v>Rhinoceros horn</x:v>
      </x:c>
      <x:c r="N27" s="15" t="str">
        <x:v>Reported role in the pseudo-hunting and rhino-horn trafficking network.</x:v>
      </x:c>
      <x:c r="O27" s="15" t="str">
        <x:v>Xaysavang Network</x:v>
      </x:c>
      <x:c r="P27" s="15" t="str">
        <x:v>Environmental Investigation Agency</x:v>
      </x:c>
      <x:c r="Q27" s="15" t="str">
        <x:v>English</x:v>
      </x:c>
      <x:c r="R27" s="15" t="str">
        <x:v>NGO investigation</x:v>
      </x:c>
      <x:c r="S27" s="15" t="str">
        <x:v>Vixay Keosavang: an untouchable kingpin of wildlife crime?</x:v>
      </x:c>
      <x:c r="T27" s="15" t="str">
        <x:v>https://eia-international.org/blog/vixay-keosavang-an-untouchable-kingpin-of-wildlife-crime/</x:v>
      </x:c>
      <x:c r="U27" s="15" t="str">
        <x:v>Medium</x:v>
      </x:c>
      <x:c r="V27" s="15" t="str">
        <x:v>Charges were reported withdrawn. Do not treat this row as a conviction.</x:v>
      </x:c>
    </x:row>
    <x:row r="28">
      <x:c r="A28" s="15" t="n">
        <x:v>27</x:v>
      </x:c>
      <x:c r="B28" s="15" t="str">
        <x:v>2014-02-01</x:v>
      </x:c>
      <x:c r="C28" s="15" t="n">
        <x:v>2014</x:v>
      </x:c>
      <x:c r="D28" s="15" t="str">
        <x:v>Person</x:v>
      </x:c>
      <x:c r="E28" s="15" t="str">
        <x:v>Marnus Steyl</x:v>
      </x:c>
      <x:c r="F28" s="15" t="str"/>
      <x:c r="G28" s="15" t="str">
        <x:v>South Africa</x:v>
      </x:c>
      <x:c r="H28" s="15" t="str">
        <x:v>Africa</x:v>
      </x:c>
      <x:c r="I28" s="15" t="str">
        <x:v>Professional hunter / alleged facilitator</x:v>
      </x:c>
      <x:c r="J28" s="15" t="str">
        <x:v>Charged/Indicted</x:v>
      </x:c>
      <x:c r="K28" s="15" t="str">
        <x:v>EIA reported that initial charges were withdrawn and that he was later re-arrested and charged with fraud and illegal rhino-hunting counts.</x:v>
      </x:c>
      <x:c r="L28" s="15" t="str">
        <x:v>Status reflects charges reported by EIA, not a final outcome.</x:v>
      </x:c>
      <x:c r="M28" s="15" t="str">
        <x:v>Rhinoceros horn; white rhinoceros</x:v>
      </x:c>
      <x:c r="N28" s="15" t="str">
        <x:v>Alleged misuse of hunting permits within a rhino-horn trafficking scheme.</x:v>
      </x:c>
      <x:c r="O28" s="15" t="str">
        <x:v>Xaysavang-linked pseudo-hunting network</x:v>
      </x:c>
      <x:c r="P28" s="15" t="str">
        <x:v>Environmental Investigation Agency</x:v>
      </x:c>
      <x:c r="Q28" s="15" t="str">
        <x:v>English</x:v>
      </x:c>
      <x:c r="R28" s="15" t="str">
        <x:v>NGO investigation</x:v>
      </x:c>
      <x:c r="S28" s="15" t="str">
        <x:v>Vixay Keosavang: an untouchable kingpin of wildlife crime?</x:v>
      </x:c>
      <x:c r="T28" s="15" t="str">
        <x:v>https://eia-international.org/blog/vixay-keosavang-an-untouchable-kingpin-of-wildlife-crime/</x:v>
      </x:c>
      <x:c r="U28" s="15" t="str">
        <x:v>Medium</x:v>
      </x:c>
      <x:c r="V28" s="15" t="str">
        <x:v>Charge-stage reporting; guilt is not established by this source.</x:v>
      </x:c>
    </x:row>
    <x:row r="29">
      <x:c r="A29" s="15" t="n">
        <x:v>28</x:v>
      </x:c>
      <x:c r="B29" s="15" t="str">
        <x:v>2014-02-01</x:v>
      </x:c>
      <x:c r="C29" s="15" t="n">
        <x:v>2014</x:v>
      </x:c>
      <x:c r="D29" s="15" t="str">
        <x:v>Person</x:v>
      </x:c>
      <x:c r="E29" s="15" t="str">
        <x:v>Harry Claassens</x:v>
      </x:c>
      <x:c r="F29" s="15" t="str"/>
      <x:c r="G29" s="15" t="str">
        <x:v>South Africa</x:v>
      </x:c>
      <x:c r="H29" s="15" t="str">
        <x:v>Africa</x:v>
      </x:c>
      <x:c r="I29" s="15" t="str">
        <x:v>Alleged participant in rhino pseudo-hunt case</x:v>
      </x:c>
      <x:c r="J29" s="15" t="str">
        <x:v>Charges Withdrawn/Dismissed</x:v>
      </x:c>
      <x:c r="K29" s="15" t="str">
        <x:v>EIA reported that charges against him in the original case were withdrawn after Chumlong Lemtongthai's guilty plea.</x:v>
      </x:c>
      <x:c r="L29" s="15" t="str">
        <x:v>Charges reported withdrawn.</x:v>
      </x:c>
      <x:c r="M29" s="15" t="str">
        <x:v>Rhinoceros horn</x:v>
      </x:c>
      <x:c r="N29" s="15" t="str">
        <x:v>Named in reporting on the Xaysavang-linked pseudo-hunting investigation.</x:v>
      </x:c>
      <x:c r="O29" s="15" t="str">
        <x:v>Xaysavang-linked pseudo-hunting network</x:v>
      </x:c>
      <x:c r="P29" s="15" t="str">
        <x:v>Environmental Investigation Agency</x:v>
      </x:c>
      <x:c r="Q29" s="15" t="str">
        <x:v>English</x:v>
      </x:c>
      <x:c r="R29" s="15" t="str">
        <x:v>NGO investigation</x:v>
      </x:c>
      <x:c r="S29" s="15" t="str">
        <x:v>Vixay Keosavang: an untouchable kingpin of wildlife crime?</x:v>
      </x:c>
      <x:c r="T29" s="15" t="str">
        <x:v>https://eia-international.org/blog/vixay-keosavang-an-untouchable-kingpin-of-wildlife-crime/</x:v>
      </x:c>
      <x:c r="U29" s="15" t="str">
        <x:v>Medium</x:v>
      </x:c>
      <x:c r="V29" s="15" t="str">
        <x:v>Charges were withdrawn; this should not be represented as a conviction.</x:v>
      </x:c>
    </x:row>
    <x:row r="30">
      <x:c r="A30" s="15" t="n">
        <x:v>29</x:v>
      </x:c>
      <x:c r="B30" s="15" t="str">
        <x:v>2018-03-20</x:v>
      </x:c>
      <x:c r="C30" s="15" t="n">
        <x:v>2018</x:v>
      </x:c>
      <x:c r="D30" s="15" t="str">
        <x:v>Person</x:v>
      </x:c>
      <x:c r="E30" s="15" t="str">
        <x:v>Nguyen Mau Chien</x:v>
      </x:c>
      <x:c r="F30" s="15" t="str"/>
      <x:c r="G30" s="15" t="str">
        <x:v>Vietnam</x:v>
      </x:c>
      <x:c r="H30" s="15" t="str">
        <x:v>Southeast Asia</x:v>
      </x:c>
      <x:c r="I30" s="15" t="str">
        <x:v>Wildlife trafficking network leader</x:v>
      </x:c>
      <x:c r="J30" s="15" t="str">
        <x:v>Sentenced/Convicted</x:v>
      </x:c>
      <x:c r="K30" s="15" t="str">
        <x:v>Convicted following a 2017 arrest in a major wildlife trafficking investigation.</x:v>
      </x:c>
      <x:c r="L30" s="15" t="str">
        <x:v>13 months' imprisonment reported.</x:v>
      </x:c>
      <x:c r="M30" s="15" t="str">
        <x:v>Rhinoceros horn; elephant ivory; tigers; other wildlife</x:v>
      </x:c>
      <x:c r="N30" s="15" t="str">
        <x:v>Authorities and conservation groups linked him to trafficking protected wildlife from Africa into Vietnam.</x:v>
      </x:c>
      <x:c r="O30" s="15" t="str"/>
      <x:c r="P30" s="15" t="str">
        <x:v>VietnamNet</x:v>
      </x:c>
      <x:c r="Q30" s="15" t="str">
        <x:v>English</x:v>
      </x:c>
      <x:c r="R30" s="15" t="str">
        <x:v>News</x:v>
      </x:c>
      <x:c r="S30" s="15" t="str">
        <x:v>Wildlife trafficker gets 13 months in prison</x:v>
      </x:c>
      <x:c r="T30" s="15" t="str">
        <x:v>https://vietnamnet.vn/en/wildlife-trafficker-gets-13-months-in-prison-E197592.html</x:v>
      </x:c>
      <x:c r="U30" s="15" t="str">
        <x:v>High</x:v>
      </x:c>
      <x:c r="V30" s="15" t="str"/>
    </x:row>
    <x:row r="31">
      <x:c r="A31" s="15" t="n">
        <x:v>30</x:v>
      </x:c>
      <x:c r="B31" s="15" t="str">
        <x:v>2022-09-28</x:v>
      </x:c>
      <x:c r="C31" s="15" t="n">
        <x:v>2022</x:v>
      </x:c>
      <x:c r="D31" s="15" t="str">
        <x:v>Person</x:v>
      </x:c>
      <x:c r="E31" s="15" t="str">
        <x:v>Nguyen Van Nam</x:v>
      </x:c>
      <x:c r="F31" s="15" t="str">
        <x:v>Ah Nam</x:v>
      </x:c>
      <x:c r="G31" s="15" t="str">
        <x:v>Vietnam</x:v>
      </x:c>
      <x:c r="H31" s="15" t="str">
        <x:v>Southeast Asia</x:v>
      </x:c>
      <x:c r="I31" s="15" t="str">
        <x:v>Major wildlife trafficker</x:v>
      </x:c>
      <x:c r="J31" s="15" t="str">
        <x:v>Sentenced/Convicted</x:v>
      </x:c>
      <x:c r="K31" s="15" t="str">
        <x:v>Arrested in 2019 and convicted in 2020 for illegal ivory trade.</x:v>
      </x:c>
      <x:c r="L31" s="15" t="str">
        <x:v>11 years' imprisonment.</x:v>
      </x:c>
      <x:c r="M31" s="15" t="str">
        <x:v>Elephant ivory</x:v>
      </x:c>
      <x:c r="N31" s="15" t="str">
        <x:v>Wildlife Justice Commission described him as one of Vietnam's biggest wildlife traffickers.</x:v>
      </x:c>
      <x:c r="O31" s="15" t="str"/>
      <x:c r="P31" s="15" t="str">
        <x:v>Wildlife Justice Commission</x:v>
      </x:c>
      <x:c r="Q31" s="15" t="str">
        <x:v>English</x:v>
      </x:c>
      <x:c r="R31" s="15" t="str">
        <x:v>NGO investigation / case reporting</x:v>
      </x:c>
      <x:c r="S31" s="15" t="str">
        <x:v>Wildlife Justice Commission publishes report detailing the downfall of one of Vietnam’s biggest wildlife traffickers</x:v>
      </x:c>
      <x:c r="T31" s="15" t="str">
        <x:v>https://wildlifejustice.org/wildlife-justice-commission-publishes-new-report-detailing-the-downfall-of-one-of-vietnams-biggest-wildlife-traffickers/</x:v>
      </x:c>
      <x:c r="U31" s="15" t="str">
        <x:v>High</x:v>
      </x:c>
      <x:c r="V31" s="15" t="str"/>
    </x:row>
    <x:row r="32">
      <x:c r="A32" s="15" t="n">
        <x:v>31</x:v>
      </x:c>
      <x:c r="B32" s="15" t="str">
        <x:v>2023-02-21</x:v>
      </x:c>
      <x:c r="C32" s="15" t="n">
        <x:v>2023</x:v>
      </x:c>
      <x:c r="D32" s="15" t="str">
        <x:v>Person</x:v>
      </x:c>
      <x:c r="E32" s="15" t="str">
        <x:v>Nguyen Duc Tai</x:v>
      </x:c>
      <x:c r="F32" s="15" t="str"/>
      <x:c r="G32" s="15" t="str">
        <x:v>Vietnam</x:v>
      </x:c>
      <x:c r="H32" s="15" t="str">
        <x:v>Southeast Asia</x:v>
      </x:c>
      <x:c r="I32" s="15" t="str">
        <x:v>Wildlife trafficker</x:v>
      </x:c>
      <x:c r="J32" s="15" t="str">
        <x:v>Sentenced/Convicted</x:v>
      </x:c>
      <x:c r="K32" s="15" t="str">
        <x:v>Convicted in Da Nang for large-scale trafficking of African wildlife products.</x:v>
      </x:c>
      <x:c r="L32" s="15" t="str">
        <x:v>13 years' imprisonment.</x:v>
      </x:c>
      <x:c r="M32" s="15" t="str">
        <x:v>Elephant ivory; pangolin scales; lion bones</x:v>
      </x:c>
      <x:c r="N32" s="15" t="str">
        <x:v>Case involved a 2021 shipment reported at more than 10 tonnes and trafficking from Africa to Vietnam.</x:v>
      </x:c>
      <x:c r="O32" s="15" t="str"/>
      <x:c r="P32" s="15" t="str">
        <x:v>Reuters</x:v>
      </x:c>
      <x:c r="Q32" s="15" t="str">
        <x:v>English</x:v>
      </x:c>
      <x:c r="R32" s="15" t="str">
        <x:v>Major media</x:v>
      </x:c>
      <x:c r="S32" s="15" t="str">
        <x:v>Vietnam jails man for 13 years for trafficking wildlife products</x:v>
      </x:c>
      <x:c r="T32" s="15" t="str">
        <x:v>https://www.reuters.com/world/asia-pacific/vietnam-jails-man-13-years-trafficking-wildlife-products-2023-02-21/</x:v>
      </x:c>
      <x:c r="U32" s="15" t="str">
        <x:v>High</x:v>
      </x:c>
      <x:c r="V32" s="15" t="str"/>
    </x:row>
    <x:row r="33">
      <x:c r="A33" s="15" t="n">
        <x:v>32</x:v>
      </x:c>
      <x:c r="B33" s="15" t="str">
        <x:v>2025-05-16</x:v>
      </x:c>
      <x:c r="C33" s="15" t="n">
        <x:v>2025</x:v>
      </x:c>
      <x:c r="D33" s="15" t="str">
        <x:v>Person</x:v>
      </x:c>
      <x:c r="E33" s="15" t="str">
        <x:v>Cao Xuan Manh</x:v>
      </x:c>
      <x:c r="F33" s="15" t="str"/>
      <x:c r="G33" s="15" t="str">
        <x:v>Vietnam</x:v>
      </x:c>
      <x:c r="H33" s="15" t="str">
        <x:v>Southeast Asia</x:v>
      </x:c>
      <x:c r="I33" s="15" t="str">
        <x:v>Leader of transnational trafficking network</x:v>
      </x:c>
      <x:c r="J33" s="15" t="str">
        <x:v>Sentenced/Convicted</x:v>
      </x:c>
      <x:c r="K33" s="15" t="str">
        <x:v>Convicted for illegally trading rhinoceros horn.</x:v>
      </x:c>
      <x:c r="L33" s="15" t="str">
        <x:v>Seven years' imprisonment.</x:v>
      </x:c>
      <x:c r="M33" s="15" t="str">
        <x:v>Rhinoceros horn</x:v>
      </x:c>
      <x:c r="N33" s="15" t="str">
        <x:v>ENV described him as the leader of a transnational wildlife trafficking network from Nghe An Province.</x:v>
      </x:c>
      <x:c r="O33" s="15" t="str"/>
      <x:c r="P33" s="15" t="str">
        <x:v>Education for Nature Vietnam</x:v>
      </x:c>
      <x:c r="Q33" s="15" t="str">
        <x:v>English</x:v>
      </x:c>
      <x:c r="R33" s="15" t="str">
        <x:v>NGO / court monitoring</x:v>
      </x:c>
      <x:c r="S33" s="15" t="str">
        <x:v>Hanoi: 7 years for the kingpin of a transnational wildlife trafficking network from Nghe An Province</x:v>
      </x:c>
      <x:c r="T33" s="15" t="str">
        <x:v>https://env4wildlife.org/2025/05/16/hanoi-7-years-for-the-kingpin-of-a-transnational-wildlife-trafficking-network-from-nghe-an-province/</x:v>
      </x:c>
      <x:c r="U33" s="15" t="str">
        <x:v>High</x:v>
      </x:c>
      <x:c r="V33" s="15" t="str"/>
    </x:row>
    <x:row r="34">
      <x:c r="A34" s="15" t="n">
        <x:v>33</x:v>
      </x:c>
      <x:c r="B34" s="15" t="str">
        <x:v>2025-06-24</x:v>
      </x:c>
      <x:c r="C34" s="15" t="n">
        <x:v>2025</x:v>
      </x:c>
      <x:c r="D34" s="15" t="str">
        <x:v>Person</x:v>
      </x:c>
      <x:c r="E34" s="15" t="str">
        <x:v>Ho Van Manh</x:v>
      </x:c>
      <x:c r="F34" s="15" t="str"/>
      <x:c r="G34" s="15" t="str">
        <x:v>Vietnam</x:v>
      </x:c>
      <x:c r="H34" s="15" t="str">
        <x:v>Southeast Asia</x:v>
      </x:c>
      <x:c r="I34" s="15" t="str">
        <x:v>Trafficking ringleader</x:v>
      </x:c>
      <x:c r="J34" s="15" t="str">
        <x:v>Sentenced/Convicted</x:v>
      </x:c>
      <x:c r="K34" s="15" t="str">
        <x:v>Convicted for involvement in trafficking 2.8 tonnes of pangolin scales.</x:v>
      </x:c>
      <x:c r="L34" s="15" t="str">
        <x:v>Seven years' imprisonment.</x:v>
      </x:c>
      <x:c r="M34" s="15" t="str">
        <x:v>Pangolin scales</x:v>
      </x:c>
      <x:c r="N34" s="15" t="str">
        <x:v>ENV described him as the ringleader of a large illegal pangolin-scale trafficking case.</x:v>
      </x:c>
      <x:c r="O34" s="15" t="str"/>
      <x:c r="P34" s="15" t="str">
        <x:v>Education for Nature Vietnam</x:v>
      </x:c>
      <x:c r="Q34" s="15" t="str">
        <x:v>English</x:v>
      </x:c>
      <x:c r="R34" s="15" t="str">
        <x:v>NGO / court monitoring</x:v>
      </x:c>
      <x:c r="S34" s="15" t="str">
        <x:v>Nghe An: ringleader in illegal trafficking of 2.8 tons of pangolin scales sentenced to 7 years</x:v>
      </x:c>
      <x:c r="T34" s="15" t="str">
        <x:v>https://env4wildlife.org/2025/06/24/nghe-an-ringleader-in-illegal-trafficking-of-2-8-tons-of-pangolin-scales-sentenced-to-7-years-in-prison/</x:v>
      </x:c>
      <x:c r="U34" s="15" t="str">
        <x:v>High</x:v>
      </x:c>
      <x:c r="V34" s="15" t="str"/>
    </x:row>
    <x:row r="35">
      <x:c r="A35" s="15" t="n">
        <x:v>34</x:v>
      </x:c>
      <x:c r="B35" s="15" t="str">
        <x:v>2026-04-24</x:v>
      </x:c>
      <x:c r="C35" s="15" t="n">
        <x:v>2026</x:v>
      </x:c>
      <x:c r="D35" s="15" t="str">
        <x:v>Person</x:v>
      </x:c>
      <x:c r="E35" s="15" t="str">
        <x:v>Nguyen The Du</x:v>
      </x:c>
      <x:c r="F35" s="15" t="str"/>
      <x:c r="G35" s="15" t="str">
        <x:v>Vietnam</x:v>
      </x:c>
      <x:c r="H35" s="15" t="str">
        <x:v>Southeast Asia</x:v>
      </x:c>
      <x:c r="I35" s="15" t="str">
        <x:v>Pangolin scale trafficker</x:v>
      </x:c>
      <x:c r="J35" s="15" t="str">
        <x:v>Sentenced/Convicted</x:v>
      </x:c>
      <x:c r="K35" s="15" t="str">
        <x:v>Convicted after being arrested with approximately 900 kg of African pangolin scales.</x:v>
      </x:c>
      <x:c r="L35" s="15" t="str">
        <x:v>Eight years' imprisonment plus fines reported.</x:v>
      </x:c>
      <x:c r="M35" s="15" t="str">
        <x:v>African pangolin scales</x:v>
      </x:c>
      <x:c r="N35" s="15" t="str">
        <x:v>Large-scale possession and trafficking of pangolin scales.</x:v>
      </x:c>
      <x:c r="O35" s="15" t="str"/>
      <x:c r="P35" s="15" t="str">
        <x:v>Wildlife Justice Commission</x:v>
      </x:c>
      <x:c r="Q35" s="15" t="str">
        <x:v>English</x:v>
      </x:c>
      <x:c r="R35" s="15" t="str">
        <x:v>NGO / court monitoring</x:v>
      </x:c>
      <x:c r="S35" s="15" t="str">
        <x:v>Wildlife Justice Commission applauds conviction of Vietnamese pangolin scale traffickers</x:v>
      </x:c>
      <x:c r="T35" s="15" t="str">
        <x:v>https://wildlifejustice.org/wildlife-justice-commission-applauds-conviction-of-vietnamese-pangolin-scale-traffickers/</x:v>
      </x:c>
      <x:c r="U35" s="15" t="str">
        <x:v>High</x:v>
      </x:c>
      <x:c r="V35" s="15" t="str"/>
    </x:row>
    <x:row r="36">
      <x:c r="A36" s="15" t="n">
        <x:v>35</x:v>
      </x:c>
      <x:c r="B36" s="15" t="str">
        <x:v>2026-04-24</x:v>
      </x:c>
      <x:c r="C36" s="15" t="n">
        <x:v>2026</x:v>
      </x:c>
      <x:c r="D36" s="15" t="str">
        <x:v>Person</x:v>
      </x:c>
      <x:c r="E36" s="15" t="str">
        <x:v>Nguyen Anh Ngoc</x:v>
      </x:c>
      <x:c r="F36" s="15" t="str"/>
      <x:c r="G36" s="15" t="str">
        <x:v>Vietnam</x:v>
      </x:c>
      <x:c r="H36" s="15" t="str">
        <x:v>Southeast Asia</x:v>
      </x:c>
      <x:c r="I36" s="15" t="str">
        <x:v>Pangolin scale trafficker</x:v>
      </x:c>
      <x:c r="J36" s="15" t="str">
        <x:v>Sentenced/Convicted</x:v>
      </x:c>
      <x:c r="K36" s="15" t="str">
        <x:v>Convicted in the same large pangolin-scale trafficking case as Nguyen The Du.</x:v>
      </x:c>
      <x:c r="L36" s="15" t="str">
        <x:v>Eight years' imprisonment plus fines reported.</x:v>
      </x:c>
      <x:c r="M36" s="15" t="str">
        <x:v>African pangolin scales</x:v>
      </x:c>
      <x:c r="N36" s="15" t="str">
        <x:v>Large-scale possession and trafficking of pangolin scales.</x:v>
      </x:c>
      <x:c r="O36" s="15" t="str"/>
      <x:c r="P36" s="15" t="str">
        <x:v>Wildlife Justice Commission</x:v>
      </x:c>
      <x:c r="Q36" s="15" t="str">
        <x:v>English</x:v>
      </x:c>
      <x:c r="R36" s="15" t="str">
        <x:v>NGO / court monitoring</x:v>
      </x:c>
      <x:c r="S36" s="15" t="str">
        <x:v>Wildlife Justice Commission applauds conviction of Vietnamese pangolin scale traffickers</x:v>
      </x:c>
      <x:c r="T36" s="15" t="str">
        <x:v>https://wildlifejustice.org/wildlife-justice-commission-applauds-conviction-of-vietnamese-pangolin-scale-traffickers/</x:v>
      </x:c>
      <x:c r="U36" s="15" t="str">
        <x:v>High</x:v>
      </x:c>
      <x:c r="V36" s="15" t="str"/>
    </x:row>
    <x:row r="37">
      <x:c r="A37" s="15" t="n">
        <x:v>36</x:v>
      </x:c>
      <x:c r="B37" s="15" t="str">
        <x:v>2023-09-19</x:v>
      </x:c>
      <x:c r="C37" s="15" t="n">
        <x:v>2023</x:v>
      </x:c>
      <x:c r="D37" s="15" t="str">
        <x:v>Person</x:v>
      </x:c>
      <x:c r="E37" s="15" t="str">
        <x:v>Teo Boon Ching</x:v>
      </x:c>
      <x:c r="F37" s="15" t="str">
        <x:v>Zhang; Dato Sri; Godfather</x:v>
      </x:c>
      <x:c r="G37" s="15" t="str">
        <x:v>Malaysia / United States</x:v>
      </x:c>
      <x:c r="H37" s="15" t="str">
        <x:v>Southeast Asia / North America</x:v>
      </x:c>
      <x:c r="I37" s="15" t="str">
        <x:v>International rhino horn trafficker</x:v>
      </x:c>
      <x:c r="J37" s="15" t="str">
        <x:v>Sentenced/Convicted</x:v>
      </x:c>
      <x:c r="K37" s="15" t="str">
        <x:v>Pleaded guilty and was sentenced for conspiracy to traffic rhinoceros horns.</x:v>
      </x:c>
      <x:c r="L37" s="15" t="str">
        <x:v>18 months' imprisonment.</x:v>
      </x:c>
      <x:c r="M37" s="15" t="str">
        <x:v>Rhinoceros horn</x:v>
      </x:c>
      <x:c r="N37" s="15" t="str">
        <x:v>Plea involved trafficking more than 70 kg of rhino horn; prosecutors described broader trafficking conduct involving hundreds of kilograms.</x:v>
      </x:c>
      <x:c r="O37" s="15" t="str"/>
      <x:c r="P37" s="15" t="str">
        <x:v>U.S. Department of Justice</x:v>
      </x:c>
      <x:c r="Q37" s="15" t="str">
        <x:v>English</x:v>
      </x:c>
      <x:c r="R37" s="15" t="str">
        <x:v>Official enforcement</x:v>
      </x:c>
      <x:c r="S37" s="15" t="str">
        <x:v>Teo Boon Ching sentenced for large-scale trafficking in rhinoceros horns</x:v>
      </x:c>
      <x:c r="T37" s="15" t="str">
        <x:v>https://www.justice.gov/usao-sdny/pr/teo-boon-ching-sentenced-18-months-prison-large-scale-trafficking-rhinoceros-horns</x:v>
      </x:c>
      <x:c r="U37" s="15" t="str">
        <x:v>High</x:v>
      </x:c>
      <x:c r="V37" s="15" t="str"/>
    </x:row>
    <x:row r="38">
      <x:c r="A38" s="15" t="n">
        <x:v>37</x:v>
      </x:c>
      <x:c r="B38" s="15" t="str">
        <x:v>2023-02-15</x:v>
      </x:c>
      <x:c r="C38" s="15" t="n">
        <x:v>2023</x:v>
      </x:c>
      <x:c r="D38" s="15" t="str">
        <x:v>Person</x:v>
      </x:c>
      <x:c r="E38" s="15" t="str">
        <x:v>Boonchai Bach</x:v>
      </x:c>
      <x:c r="F38" s="15" t="str">
        <x:v>Bach 'Boonchai' Mai</x:v>
      </x:c>
      <x:c r="G38" s="15" t="str">
        <x:v>Thailand / Vietnam</x:v>
      </x:c>
      <x:c r="H38" s="15" t="str">
        <x:v>Southeast Asia</x:v>
      </x:c>
      <x:c r="I38" s="15" t="str">
        <x:v>Wildlife trafficking figure</x:v>
      </x:c>
      <x:c r="J38" s="15" t="str">
        <x:v>Sentenced/Convicted</x:v>
      </x:c>
      <x:c r="K38" s="15" t="str">
        <x:v>National Geographic reported that he was sentenced to five years in relation to an attempt to smuggle 14 rhino horns.</x:v>
      </x:c>
      <x:c r="L38" s="15" t="str">
        <x:v>Five years' imprisonment reported.</x:v>
      </x:c>
      <x:c r="M38" s="15" t="str">
        <x:v>Rhinoceros horn</x:v>
      </x:c>
      <x:c r="N38" s="15" t="str">
        <x:v>Long-running investigations linked him to a transnational wildlife trafficking network.</x:v>
      </x:c>
      <x:c r="O38" s="15" t="str">
        <x:v>Hydra network</x:v>
      </x:c>
      <x:c r="P38" s="15" t="str">
        <x:v>National Geographic</x:v>
      </x:c>
      <x:c r="Q38" s="15" t="str">
        <x:v>English</x:v>
      </x:c>
      <x:c r="R38" s="15" t="str">
        <x:v>Major media / investigative reporting</x:v>
      </x:c>
      <x:c r="S38" s="15" t="str">
        <x:v>How investigators brought down a wildlife trafficking kingpin</x:v>
      </x:c>
      <x:c r="T38" s="15" t="str">
        <x:v>https://www.nationalgeographic.com/animals/article/wildlife-trafficking-kingpin-boonchai-bach</x:v>
      </x:c>
      <x:c r="U38" s="15" t="str">
        <x:v>Medium</x:v>
      </x:c>
      <x:c r="V38" s="15" t="str">
        <x:v>Name variants appear across reporting; source wording and final case chronology should be checked before external publication.</x:v>
      </x:c>
    </x:row>
    <x:row r="39">
      <x:c r="A39" s="15" t="n">
        <x:v>38</x:v>
      </x:c>
      <x:c r="B39" s="15" t="str">
        <x:v>2019-06-05</x:v>
      </x:c>
      <x:c r="C39" s="15" t="n">
        <x:v>2019</x:v>
      </x:c>
      <x:c r="D39" s="15" t="str">
        <x:v>Person</x:v>
      </x:c>
      <x:c r="E39" s="15" t="str">
        <x:v>Ludvik Berousek</x:v>
      </x:c>
      <x:c r="F39" s="15" t="str"/>
      <x:c r="G39" s="15" t="str">
        <x:v>Czech Republic</x:v>
      </x:c>
      <x:c r="H39" s="15" t="str">
        <x:v>Europe</x:v>
      </x:c>
      <x:c r="I39" s="15" t="str">
        <x:v>Big-cat trader</x:v>
      </x:c>
      <x:c r="J39" s="15" t="str">
        <x:v>Sentenced/Convicted</x:v>
      </x:c>
      <x:c r="K39" s="15" t="str">
        <x:v>Convicted in a Czech tiger-trade case.</x:v>
      </x:c>
      <x:c r="L39" s="15" t="str">
        <x:v>Two-year suspended sentence and fine reported.</x:v>
      </x:c>
      <x:c r="M39" s="15" t="str">
        <x:v>Tigers; tiger body parts</x:v>
      </x:c>
      <x:c r="N39" s="15" t="str">
        <x:v>FOUR PAWS reported his contribution to illegal trade in tigers and processing of tiger body parts.</x:v>
      </x:c>
      <x:c r="O39" s="15" t="str"/>
      <x:c r="P39" s="15" t="str">
        <x:v>FOUR PAWS</x:v>
      </x:c>
      <x:c r="Q39" s="15" t="str">
        <x:v>English</x:v>
      </x:c>
      <x:c r="R39" s="15" t="str">
        <x:v>NGO / case reporting</x:v>
      </x:c>
      <x:c r="S39" s="15" t="str">
        <x:v>Ruthless Czech tiger trader walks free after suspended sentence</x:v>
      </x:c>
      <x:c r="T39" s="15" t="str">
        <x:v>https://www.four-paws.org/our-stories/press-releases/june-2019/ruthless-czech-tiger-trader-walks-free-after-suspended-sentence</x:v>
      </x:c>
      <x:c r="U39" s="15" t="str">
        <x:v>High</x:v>
      </x:c>
      <x:c r="V39" s="15" t="str"/>
    </x:row>
    <x:row r="40">
      <x:c r="A40" s="15" t="n">
        <x:v>39</x:v>
      </x:c>
      <x:c r="B40" s="15" t="str">
        <x:v>2019-02-19</x:v>
      </x:c>
      <x:c r="C40" s="15" t="n">
        <x:v>2019</x:v>
      </x:c>
      <x:c r="D40" s="15" t="str">
        <x:v>Person</x:v>
      </x:c>
      <x:c r="E40" s="15" t="str">
        <x:v>Yang Fenglan</x:v>
      </x:c>
      <x:c r="F40" s="15" t="str">
        <x:v>Yang Feng Glan; 'Ivory Queen'</x:v>
      </x:c>
      <x:c r="G40" s="15" t="str">
        <x:v>Tanzania / China</x:v>
      </x:c>
      <x:c r="H40" s="15" t="str">
        <x:v>Africa / East Asia</x:v>
      </x:c>
      <x:c r="I40" s="15" t="str">
        <x:v>Ivory trafficking organizer</x:v>
      </x:c>
      <x:c r="J40" s="15" t="str">
        <x:v>Sentenced/Convicted</x:v>
      </x:c>
      <x:c r="K40" s="15" t="str">
        <x:v>Convicted in Tanzania for leading an ivory-smuggling operation.</x:v>
      </x:c>
      <x:c r="L40" s="15" t="str">
        <x:v>15 years' imprisonment.</x:v>
      </x:c>
      <x:c r="M40" s="15" t="str">
        <x:v>Elephant ivory</x:v>
      </x:c>
      <x:c r="N40" s="15" t="str">
        <x:v>Court found her guilty in a case involving tusks from more than 350 elephants, nearly two tonnes of ivory.</x:v>
      </x:c>
      <x:c r="O40" s="15" t="str"/>
      <x:c r="P40" s="15" t="str">
        <x:v>Reuters</x:v>
      </x:c>
      <x:c r="Q40" s="15" t="str">
        <x:v>English</x:v>
      </x:c>
      <x:c r="R40" s="15" t="str">
        <x:v>Major media</x:v>
      </x:c>
      <x:c r="S40" s="15" t="str">
        <x:v>Chinese 'Ivory Queen' smuggler sentenced to 15 years in Tanzania</x:v>
      </x:c>
      <x:c r="T40" s="15" t="str">
        <x:v>https://www.reuters.com/article/world/chinese-ivory-queen-smuggler-sentenced-to-15-years-jail-in-tanzania-idUSKCN1Q827G/</x:v>
      </x:c>
      <x:c r="U40" s="15" t="str">
        <x:v>High</x:v>
      </x:c>
      <x:c r="V40" s="15" t="str"/>
    </x:row>
    <x:row r="41">
      <x:c r="A41" s="15" t="n">
        <x:v>40</x:v>
      </x:c>
      <x:c r="B41" s="15" t="str">
        <x:v>2019-02-19</x:v>
      </x:c>
      <x:c r="C41" s="15" t="n">
        <x:v>2019</x:v>
      </x:c>
      <x:c r="D41" s="15" t="str">
        <x:v>Person</x:v>
      </x:c>
      <x:c r="E41" s="15" t="str">
        <x:v>Salivius Matembo</x:v>
      </x:c>
      <x:c r="F41" s="15" t="str"/>
      <x:c r="G41" s="15" t="str">
        <x:v>Tanzania</x:v>
      </x:c>
      <x:c r="H41" s="15" t="str">
        <x:v>Africa</x:v>
      </x:c>
      <x:c r="I41" s="15" t="str">
        <x:v>Co-defendant in ivory trafficking case</x:v>
      </x:c>
      <x:c r="J41" s="15" t="str">
        <x:v>Sentenced/Convicted</x:v>
      </x:c>
      <x:c r="K41" s="15" t="str">
        <x:v>Convicted with Yang Fenglan in a major ivory smuggling case.</x:v>
      </x:c>
      <x:c r="L41" s="15" t="str">
        <x:v>15 years' imprisonment.</x:v>
      </x:c>
      <x:c r="M41" s="15" t="str">
        <x:v>Elephant ivory</x:v>
      </x:c>
      <x:c r="N41" s="15" t="str">
        <x:v>Participated in the ivory-trafficking conspiracy prosecuted in Tanzania.</x:v>
      </x:c>
      <x:c r="O41" s="15" t="str">
        <x:v>Yang Fenglan case</x:v>
      </x:c>
      <x:c r="P41" s="15" t="str">
        <x:v>Reuters</x:v>
      </x:c>
      <x:c r="Q41" s="15" t="str">
        <x:v>English</x:v>
      </x:c>
      <x:c r="R41" s="15" t="str">
        <x:v>Major media</x:v>
      </x:c>
      <x:c r="S41" s="15" t="str">
        <x:v>Chinese 'Ivory Queen' smuggler sentenced to 15 years in Tanzania</x:v>
      </x:c>
      <x:c r="T41" s="15" t="str">
        <x:v>https://www.reuters.com/article/world/chinese-ivory-queen-smuggler-sentenced-to-15-years-jail-in-tanzania-idUSKCN1Q827G/</x:v>
      </x:c>
      <x:c r="U41" s="15" t="str">
        <x:v>High</x:v>
      </x:c>
      <x:c r="V41" s="15" t="str"/>
    </x:row>
    <x:row r="42">
      <x:c r="A42" s="15" t="n">
        <x:v>41</x:v>
      </x:c>
      <x:c r="B42" s="15" t="str">
        <x:v>2019-02-19</x:v>
      </x:c>
      <x:c r="C42" s="15" t="n">
        <x:v>2019</x:v>
      </x:c>
      <x:c r="D42" s="15" t="str">
        <x:v>Person</x:v>
      </x:c>
      <x:c r="E42" s="15" t="str">
        <x:v>Manase Philemon</x:v>
      </x:c>
      <x:c r="F42" s="15" t="str"/>
      <x:c r="G42" s="15" t="str">
        <x:v>Tanzania</x:v>
      </x:c>
      <x:c r="H42" s="15" t="str">
        <x:v>Africa</x:v>
      </x:c>
      <x:c r="I42" s="15" t="str">
        <x:v>Co-defendant in ivory trafficking case</x:v>
      </x:c>
      <x:c r="J42" s="15" t="str">
        <x:v>Sentenced/Convicted</x:v>
      </x:c>
      <x:c r="K42" s="15" t="str">
        <x:v>Convicted with Yang Fenglan in a major ivory smuggling case.</x:v>
      </x:c>
      <x:c r="L42" s="15" t="str">
        <x:v>15 years' imprisonment.</x:v>
      </x:c>
      <x:c r="M42" s="15" t="str">
        <x:v>Elephant ivory</x:v>
      </x:c>
      <x:c r="N42" s="15" t="str">
        <x:v>Participated in the ivory-trafficking conspiracy prosecuted in Tanzania.</x:v>
      </x:c>
      <x:c r="O42" s="15" t="str">
        <x:v>Yang Fenglan case</x:v>
      </x:c>
      <x:c r="P42" s="15" t="str">
        <x:v>Reuters</x:v>
      </x:c>
      <x:c r="Q42" s="15" t="str">
        <x:v>English</x:v>
      </x:c>
      <x:c r="R42" s="15" t="str">
        <x:v>Major media</x:v>
      </x:c>
      <x:c r="S42" s="15" t="str">
        <x:v>Chinese 'Ivory Queen' smuggler sentenced to 15 years in Tanzania</x:v>
      </x:c>
      <x:c r="T42" s="15" t="str">
        <x:v>https://www.reuters.com/article/world/chinese-ivory-queen-smuggler-sentenced-to-15-years-jail-in-tanzania-idUSKCN1Q827G/</x:v>
      </x:c>
      <x:c r="U42" s="15" t="str">
        <x:v>High</x:v>
      </x:c>
      <x:c r="V42" s="15" t="str"/>
    </x:row>
    <x:row r="43">
      <x:c r="A43" s="15" t="n">
        <x:v>42</x:v>
      </x:c>
      <x:c r="B43" s="15" t="str">
        <x:v>2022-08-18</x:v>
      </x:c>
      <x:c r="C43" s="15" t="n">
        <x:v>2022</x:v>
      </x:c>
      <x:c r="D43" s="15" t="str">
        <x:v>Person</x:v>
      </x:c>
      <x:c r="E43" s="15" t="str">
        <x:v>Moazu Kromah</x:v>
      </x:c>
      <x:c r="F43" s="15" t="str">
        <x:v>Ayoub; Ayuba; Kampala Man</x:v>
      </x:c>
      <x:c r="G43" s="15" t="str">
        <x:v>Uganda / United States</x:v>
      </x:c>
      <x:c r="H43" s="15" t="str">
        <x:v>Africa / North America</x:v>
      </x:c>
      <x:c r="I43" s="15" t="str">
        <x:v>Transnational wildlife trafficker</x:v>
      </x:c>
      <x:c r="J43" s="15" t="str">
        <x:v>Sentenced/Convicted</x:v>
      </x:c>
      <x:c r="K43" s="15" t="str">
        <x:v>Convicted for participation in a major East African rhino-horn and ivory trafficking enterprise.</x:v>
      </x:c>
      <x:c r="L43" s="15" t="str">
        <x:v>63 months' imprisonment.</x:v>
      </x:c>
      <x:c r="M43" s="15" t="str">
        <x:v>Rhinoceros horn; elephant ivory</x:v>
      </x:c>
      <x:c r="N43" s="15" t="str">
        <x:v>Enterprise trafficked approximately 190 kg of rhino horn and at least 10 tonnes of ivory, representing dozens of rhinos and more than 100 elephants.</x:v>
      </x:c>
      <x:c r="O43" s="15" t="str">
        <x:v>Kromah wildlife trafficking enterprise</x:v>
      </x:c>
      <x:c r="P43" s="15" t="str">
        <x:v>U.S. Department of Justice</x:v>
      </x:c>
      <x:c r="Q43" s="15" t="str">
        <x:v>English</x:v>
      </x:c>
      <x:c r="R43" s="15" t="str">
        <x:v>Official enforcement</x:v>
      </x:c>
      <x:c r="S43" s="15" t="str">
        <x:v>Wildlife trafficker from Uganda sentenced for large-scale trafficking in rhinoceros horns and elephant ivory</x:v>
      </x:c>
      <x:c r="T43" s="15" t="str">
        <x:v>https://www.justice.gov/usao-sdny/pr/wildlife-trafficker-uganda-sentenced-63-months-large-scale-trafficking-rhinoceros-horns</x:v>
      </x:c>
      <x:c r="U43" s="15" t="str">
        <x:v>High</x:v>
      </x:c>
      <x:c r="V43" s="15" t="str"/>
    </x:row>
    <x:row r="44">
      <x:c r="A44" s="15" t="n">
        <x:v>43</x:v>
      </x:c>
      <x:c r="B44" s="15" t="str">
        <x:v>2022-12-15</x:v>
      </x:c>
      <x:c r="C44" s="15" t="n">
        <x:v>2022</x:v>
      </x:c>
      <x:c r="D44" s="15" t="str">
        <x:v>Person</x:v>
      </x:c>
      <x:c r="E44" s="15" t="str">
        <x:v>Amara Cherif</x:v>
      </x:c>
      <x:c r="F44" s="15" t="str">
        <x:v>Bamba Issiaka</x:v>
      </x:c>
      <x:c r="G44" s="15" t="str">
        <x:v>Uganda / West Africa / United States</x:v>
      </x:c>
      <x:c r="H44" s="15" t="str">
        <x:v>Africa / North America</x:v>
      </x:c>
      <x:c r="I44" s="15" t="str">
        <x:v>Transnational wildlife trafficker</x:v>
      </x:c>
      <x:c r="J44" s="15" t="str">
        <x:v>Sentenced/Convicted</x:v>
      </x:c>
      <x:c r="K44" s="15" t="str">
        <x:v>Pleaded guilty and was sentenced in the East African rhino-horn and ivory trafficking enterprise.</x:v>
      </x:c>
      <x:c r="L44" s="15" t="str">
        <x:v>57 months' imprisonment.</x:v>
      </x:c>
      <x:c r="M44" s="15" t="str">
        <x:v>Rhinoceros horn; elephant ivory</x:v>
      </x:c>
      <x:c r="N44" s="15" t="str">
        <x:v>Participated in large-scale trafficking of rhino horn and elephant ivory toward international markets.</x:v>
      </x:c>
      <x:c r="O44" s="15" t="str">
        <x:v>Kromah wildlife trafficking enterprise</x:v>
      </x:c>
      <x:c r="P44" s="15" t="str">
        <x:v>U.S. Department of Justice</x:v>
      </x:c>
      <x:c r="Q44" s="15" t="str">
        <x:v>English</x:v>
      </x:c>
      <x:c r="R44" s="15" t="str">
        <x:v>Official enforcement</x:v>
      </x:c>
      <x:c r="S44" s="15" t="str">
        <x:v>Wildlife trafficker sentenced for large-scale trafficking in rhinoceros horns and elephant ivory</x:v>
      </x:c>
      <x:c r="T44" s="15" t="str">
        <x:v>https://www.justice.gov/usao-sdny/pr/wildlife-trafficker-sentenced-57-months-large-scale-trafficking-rhinoceros-horns-and</x:v>
      </x:c>
      <x:c r="U44" s="15" t="str">
        <x:v>High</x:v>
      </x:c>
      <x:c r="V44" s="15" t="str"/>
    </x:row>
    <x:row r="45">
      <x:c r="A45" s="15" t="n">
        <x:v>44</x:v>
      </x:c>
      <x:c r="B45" s="15" t="str">
        <x:v>2022-06-16</x:v>
      </x:c>
      <x:c r="C45" s="15" t="n">
        <x:v>2022</x:v>
      </x:c>
      <x:c r="D45" s="15" t="str">
        <x:v>Person</x:v>
      </x:c>
      <x:c r="E45" s="15" t="str">
        <x:v>Mansur Mohamed Surur</x:v>
      </x:c>
      <x:c r="F45" s="15" t="str">
        <x:v>Mansour</x:v>
      </x:c>
      <x:c r="G45" s="15" t="str">
        <x:v>Kenya / Uganda / United States</x:v>
      </x:c>
      <x:c r="H45" s="15" t="str">
        <x:v>Africa / North America</x:v>
      </x:c>
      <x:c r="I45" s="15" t="str">
        <x:v>Transnational wildlife trafficker</x:v>
      </x:c>
      <x:c r="J45" s="15" t="str">
        <x:v>Pleaded Guilty</x:v>
      </x:c>
      <x:c r="K45" s="15" t="str">
        <x:v>Pleaded guilty in the East African rhino-horn and ivory trafficking enterprise after extradition to the United States.</x:v>
      </x:c>
      <x:c r="L45" s="15" t="str">
        <x:v>Later sentencing occurred; this row records the guilty plea stage.</x:v>
      </x:c>
      <x:c r="M45" s="15" t="str">
        <x:v>Rhinoceros horn; elephant ivory</x:v>
      </x:c>
      <x:c r="N45" s="15" t="str">
        <x:v>Participated in trafficking approximately 190 kg of rhino horn and at least 10 tonnes of ivory.</x:v>
      </x:c>
      <x:c r="O45" s="15" t="str">
        <x:v>Kromah wildlife trafficking enterprise</x:v>
      </x:c>
      <x:c r="P45" s="15" t="str">
        <x:v>U.S. Department of Justice</x:v>
      </x:c>
      <x:c r="Q45" s="15" t="str">
        <x:v>English</x:v>
      </x:c>
      <x:c r="R45" s="15" t="str">
        <x:v>Official enforcement</x:v>
      </x:c>
      <x:c r="S45" s="15" t="str">
        <x:v>Wildlife trafficker pleads guilty to large-scale trafficking in rhinoceros horns and elephant ivory</x:v>
      </x:c>
      <x:c r="T45" s="15" t="str">
        <x:v>https://www.justice.gov/usao-sdny/pr/wildlife-trafficker-pleads-guilty-large-scale-trafficking-rhinoceros-horns-and-elephant</x:v>
      </x:c>
      <x:c r="U45" s="15" t="str">
        <x:v>High</x:v>
      </x:c>
      <x:c r="V45" s="15" t="str"/>
    </x:row>
    <x:row r="46">
      <x:c r="A46" s="15" t="n">
        <x:v>45</x:v>
      </x:c>
      <x:c r="B46" s="15" t="str">
        <x:v>2023-05-11</x:v>
      </x:c>
      <x:c r="C46" s="15" t="n">
        <x:v>2023</x:v>
      </x:c>
      <x:c r="D46" s="15" t="str">
        <x:v>Person</x:v>
      </x:c>
      <x:c r="E46" s="15" t="str">
        <x:v>Abdi Hussein Ahmed</x:v>
      </x:c>
      <x:c r="F46" s="15" t="str">
        <x:v>Abu Khadi</x:v>
      </x:c>
      <x:c r="G46" s="15" t="str">
        <x:v>Kenya / United States</x:v>
      </x:c>
      <x:c r="H46" s="15" t="str">
        <x:v>Africa / North America</x:v>
      </x:c>
      <x:c r="I46" s="15" t="str">
        <x:v>Transnational wildlife trafficker</x:v>
      </x:c>
      <x:c r="J46" s="15" t="str">
        <x:v>Sentenced/Convicted</x:v>
      </x:c>
      <x:c r="K46" s="15" t="str">
        <x:v>Convicted in the East African rhino-horn and ivory trafficking enterprise.</x:v>
      </x:c>
      <x:c r="L46" s="15" t="str">
        <x:v>48 months' imprisonment.</x:v>
      </x:c>
      <x:c r="M46" s="15" t="str">
        <x:v>Rhinoceros horn; elephant ivory</x:v>
      </x:c>
      <x:c r="N46" s="15" t="str">
        <x:v>Participated in large-scale international trafficking of rhino horn and elephant ivory.</x:v>
      </x:c>
      <x:c r="O46" s="15" t="str">
        <x:v>Kromah wildlife trafficking enterprise</x:v>
      </x:c>
      <x:c r="P46" s="15" t="str">
        <x:v>U.S. Department of Justice</x:v>
      </x:c>
      <x:c r="Q46" s="15" t="str">
        <x:v>English</x:v>
      </x:c>
      <x:c r="R46" s="15" t="str">
        <x:v>Official enforcement</x:v>
      </x:c>
      <x:c r="S46" s="15" t="str">
        <x:v>Fifth defendant sentenced for large-scale trafficking in rhinoceros horns and elephant ivory</x:v>
      </x:c>
      <x:c r="T46" s="15" t="str">
        <x:v>https://www.justice.gov/usao-sdny/pr/fifth-defendant-sentenced-48-months-prison-large-scale-trafficking-rhinoceros-horns</x:v>
      </x:c>
      <x:c r="U46" s="15" t="str">
        <x:v>High</x:v>
      </x:c>
      <x:c r="V46" s="15" t="str"/>
    </x:row>
    <x:row r="47">
      <x:c r="A47" s="15" t="n">
        <x:v>46</x:v>
      </x:c>
      <x:c r="B47" s="15" t="str">
        <x:v>2022-08-18</x:v>
      </x:c>
      <x:c r="C47" s="15" t="n">
        <x:v>2022</x:v>
      </x:c>
      <x:c r="D47" s="15" t="str">
        <x:v>Person</x:v>
      </x:c>
      <x:c r="E47" s="15" t="str">
        <x:v>Badru Abdul Aziz Saleh</x:v>
      </x:c>
      <x:c r="F47" s="15" t="str">
        <x:v>Badro</x:v>
      </x:c>
      <x:c r="G47" s="15" t="str">
        <x:v>Kenya</x:v>
      </x:c>
      <x:c r="H47" s="15" t="str">
        <x:v>Africa</x:v>
      </x:c>
      <x:c r="I47" s="15" t="str">
        <x:v>Alleged member of trafficking enterprise</x:v>
      </x:c>
      <x:c r="J47" s="15" t="str">
        <x:v>Charged/Indicted</x:v>
      </x:c>
      <x:c r="K47" s="15" t="str">
        <x:v>Named as a defendant in the East African rhino-horn and ivory trafficking enterprise; source described him as in Kenyan custody at that stage.</x:v>
      </x:c>
      <x:c r="L47" s="15" t="str">
        <x:v>No final outcome recorded in the cited source row.</x:v>
      </x:c>
      <x:c r="M47" s="15" t="str">
        <x:v>Rhinoceros horn; elephant ivory</x:v>
      </x:c>
      <x:c r="N47" s="15" t="str">
        <x:v>Alleged participation in the same transnational trafficking enterprise.</x:v>
      </x:c>
      <x:c r="O47" s="15" t="str">
        <x:v>Kromah wildlife trafficking enterprise</x:v>
      </x:c>
      <x:c r="P47" s="15" t="str">
        <x:v>U.S. Department of Justice</x:v>
      </x:c>
      <x:c r="Q47" s="15" t="str">
        <x:v>English</x:v>
      </x:c>
      <x:c r="R47" s="15" t="str">
        <x:v>Official enforcement</x:v>
      </x:c>
      <x:c r="S47" s="15" t="str">
        <x:v>Wildlife trafficker from Uganda sentenced for large-scale trafficking in rhinoceros horns and elephant ivory</x:v>
      </x:c>
      <x:c r="T47" s="15" t="str">
        <x:v>https://www.justice.gov/usao-sdny/pr/wildlife-trafficker-uganda-sentenced-63-months-large-scale-trafficking-rhinoceros-horns</x:v>
      </x:c>
      <x:c r="U47" s="15" t="str">
        <x:v>High</x:v>
      </x:c>
      <x:c r="V47" s="15" t="str">
        <x:v>Charge-stage / co-defendant status in the cited source; do not infer conviction.</x:v>
      </x:c>
    </x:row>
    <x:row r="48">
      <x:c r="A48" s="15" t="n">
        <x:v>47</x:v>
      </x:c>
      <x:c r="B48" s="15" t="str">
        <x:v>2026-04-23</x:v>
      </x:c>
      <x:c r="C48" s="15" t="n">
        <x:v>2026</x:v>
      </x:c>
      <x:c r="D48" s="15" t="str">
        <x:v>Person</x:v>
      </x:c>
      <x:c r="E48" s="15" t="str">
        <x:v>Shamsideen Abubakar</x:v>
      </x:c>
      <x:c r="F48" s="15" t="str"/>
      <x:c r="G48" s="15" t="str">
        <x:v>Nigeria</x:v>
      </x:c>
      <x:c r="H48" s="15" t="str">
        <x:v>West Africa</x:v>
      </x:c>
      <x:c r="I48" s="15" t="str">
        <x:v>Suspected high-level wildlife trafficker</x:v>
      </x:c>
      <x:c r="J48" s="15" t="str">
        <x:v>Arrested/Detained</x:v>
      </x:c>
      <x:c r="K48" s="15" t="str">
        <x:v>Arrested after approximately five years on the run in relation to a major wildlife trafficking case.</x:v>
      </x:c>
      <x:c r="L48" s="15" t="str">
        <x:v>Arrest reported; final judicial outcome not stated in source.</x:v>
      </x:c>
      <x:c r="M48" s="15" t="str">
        <x:v>Pangolin scales; elephant ivory / wildlife products</x:v>
      </x:c>
      <x:c r="N48" s="15" t="str">
        <x:v>Wildlife Justice Commission described him as a suspected high-level trafficker wanted in connection with a 2021 Lagos case.</x:v>
      </x:c>
      <x:c r="O48" s="15" t="str"/>
      <x:c r="P48" s="15" t="str">
        <x:v>Wildlife Justice Commission</x:v>
      </x:c>
      <x:c r="Q48" s="15" t="str">
        <x:v>English</x:v>
      </x:c>
      <x:c r="R48" s="15" t="str">
        <x:v>NGO / enforcement partnership reporting</x:v>
      </x:c>
      <x:c r="S48" s="15" t="str">
        <x:v>After five years on the run, wildlife trafficking kingpin arrested in joint operation</x:v>
      </x:c>
      <x:c r="T48" s="15" t="str">
        <x:v>https://wildlifejustice.org/after-five-years-on-the-run-wildlife-trafficking-kingpin-arrested-in-joint-operation-involving-wildlife-justice-commission/</x:v>
      </x:c>
      <x:c r="U48" s="15" t="str">
        <x:v>High</x:v>
      </x:c>
      <x:c r="V48" s="15" t="str">
        <x:v>Arrest and suspicion are not proof of guilt.</x:v>
      </x:c>
    </x:row>
    <x:row r="49">
      <x:c r="A49" s="15" t="n">
        <x:v>48</x:v>
      </x:c>
      <x:c r="B49" s="15" t="str">
        <x:v>2023-09-30</x:v>
      </x:c>
      <x:c r="C49" s="15" t="n">
        <x:v>2023</x:v>
      </x:c>
      <x:c r="D49" s="15" t="str">
        <x:v>Person</x:v>
      </x:c>
      <x:c r="E49" s="15" t="str">
        <x:v>Felix Maiva</x:v>
      </x:c>
      <x:c r="F49" s="15" t="str"/>
      <x:c r="G49" s="15" t="str">
        <x:v>Nigeria</x:v>
      </x:c>
      <x:c r="H49" s="15" t="str">
        <x:v>West Africa</x:v>
      </x:c>
      <x:c r="I49" s="15" t="str">
        <x:v>Fugitive suspect in wildlife trafficking case</x:v>
      </x:c>
      <x:c r="J49" s="15" t="str">
        <x:v>Arrested/Detained</x:v>
      </x:c>
      <x:c r="K49" s="15" t="str">
        <x:v>Arrested in relation to a January 2021 illegal wildlife shipment from Nigeria toward Vietnam.</x:v>
      </x:c>
      <x:c r="L49" s="15" t="str">
        <x:v>Arrest reported; final case outcome not stated in source.</x:v>
      </x:c>
      <x:c r="M49" s="15" t="str">
        <x:v>Pangolin scales; ivory / wildlife products</x:v>
      </x:c>
      <x:c r="N49" s="15" t="str">
        <x:v>Linked by investigators to a major Apapa Port wildlife shipment bound for Haiphong.</x:v>
      </x:c>
      <x:c r="O49" s="15" t="str">
        <x:v>January 2021 Nigeria-Vietnam seizure case</x:v>
      </x:c>
      <x:c r="P49" s="15" t="str">
        <x:v>Wildlife Justice Commission</x:v>
      </x:c>
      <x:c r="Q49" s="15" t="str">
        <x:v>English</x:v>
      </x:c>
      <x:c r="R49" s="15" t="str">
        <x:v>NGO / enforcement partnership reporting</x:v>
      </x:c>
      <x:c r="S49" s="15" t="str">
        <x:v>Joint operation with NCS leads to arrest of fugitive suspected of involvement in major wildlife seizure</x:v>
      </x:c>
      <x:c r="T49" s="15" t="str">
        <x:v>https://wildlifejustice.org/joint-operation-with-ncs-leads-to-arrest-of-fugitive-suspected-of-involvement-in-major-wildlife-seizure-of-january-2021/</x:v>
      </x:c>
      <x:c r="U49" s="15" t="str">
        <x:v>High</x:v>
      </x:c>
      <x:c r="V49" s="15" t="str">
        <x:v>Arrest-stage reporting; guilt is not established.</x:v>
      </x:c>
    </x:row>
    <x:row r="50">
      <x:c r="A50" s="15" t="n">
        <x:v>49</x:v>
      </x:c>
      <x:c r="B50" s="15" t="str">
        <x:v>2023-07-21</x:v>
      </x:c>
      <x:c r="C50" s="15" t="n">
        <x:v>2023</x:v>
      </x:c>
      <x:c r="D50" s="15" t="str">
        <x:v>Person</x:v>
      </x:c>
      <x:c r="E50" s="15" t="str">
        <x:v>Phan Viet Chi</x:v>
      </x:c>
      <x:c r="F50" s="15" t="str"/>
      <x:c r="G50" s="15" t="str">
        <x:v>Nigeria / Vietnam</x:v>
      </x:c>
      <x:c r="H50" s="15" t="str">
        <x:v>West Africa / Southeast Asia</x:v>
      </x:c>
      <x:c r="I50" s="15" t="str">
        <x:v>Member of transnational wildlife trafficking group</x:v>
      </x:c>
      <x:c r="J50" s="15" t="str">
        <x:v>Sentenced/Convicted</x:v>
      </x:c>
      <x:c r="K50" s="15" t="str">
        <x:v>Convicted and sentenced in Nigeria for wildlife trafficking offenses.</x:v>
      </x:c>
      <x:c r="L50" s="15" t="str">
        <x:v>Wildlife Justice Commission reported prison sentences or fine alternatives in the case.</x:v>
      </x:c>
      <x:c r="M50" s="15" t="str">
        <x:v>Pangolin scales; elephant ivory; rhino horn; lion bones</x:v>
      </x:c>
      <x:c r="N50" s="15" t="str">
        <x:v>Group was linked to possession, dealing, storage, smuggling and trade in protected wildlife products, with supply links from Southern Africa toward Vietnam.</x:v>
      </x:c>
      <x:c r="O50" s="15" t="str">
        <x:v>Nigeria-based transnational trafficking group</x:v>
      </x:c>
      <x:c r="P50" s="15" t="str">
        <x:v>Wildlife Justice Commission</x:v>
      </x:c>
      <x:c r="Q50" s="15" t="str">
        <x:v>English</x:v>
      </x:c>
      <x:c r="R50" s="15" t="str">
        <x:v>NGO / court monitoring</x:v>
      </x:c>
      <x:c r="S50" s="15" t="str">
        <x:v>Three Vietnamese and one Guinean charged with wildlife trafficking in Nigeria convicted and sentenced</x:v>
      </x:c>
      <x:c r="T50" s="15" t="str">
        <x:v>https://wildlifejustice.org/three-vietnamese-and-one-guinean-charged-with-wildlife-trafficking-in-nigeria-convicted-and-sentenced-to-six-years-imprisonment-or-fine-payments/</x:v>
      </x:c>
      <x:c r="U50" s="15" t="str">
        <x:v>High</x:v>
      </x:c>
      <x:c r="V50" s="15" t="str"/>
    </x:row>
    <x:row r="51">
      <x:c r="A51" s="15" t="n">
        <x:v>50</x:v>
      </x:c>
      <x:c r="B51" s="15" t="str">
        <x:v>2023-07-21</x:v>
      </x:c>
      <x:c r="C51" s="15" t="n">
        <x:v>2023</x:v>
      </x:c>
      <x:c r="D51" s="15" t="str">
        <x:v>Person</x:v>
      </x:c>
      <x:c r="E51" s="15" t="str">
        <x:v>Phan Hong Quan</x:v>
      </x:c>
      <x:c r="F51" s="15" t="str"/>
      <x:c r="G51" s="15" t="str">
        <x:v>Nigeria / Vietnam</x:v>
      </x:c>
      <x:c r="H51" s="15" t="str">
        <x:v>West Africa / Southeast Asia</x:v>
      </x:c>
      <x:c r="I51" s="15" t="str">
        <x:v>Member of transnational wildlife trafficking group</x:v>
      </x:c>
      <x:c r="J51" s="15" t="str">
        <x:v>Sentenced/Convicted</x:v>
      </x:c>
      <x:c r="K51" s="15" t="str">
        <x:v>Convicted and sentenced in Nigeria for wildlife trafficking offenses.</x:v>
      </x:c>
      <x:c r="L51" s="15" t="str">
        <x:v>Wildlife Justice Commission reported prison sentences or fine alternatives in the case.</x:v>
      </x:c>
      <x:c r="M51" s="15" t="str">
        <x:v>Pangolin scales; elephant ivory; rhino horn; lion bones</x:v>
      </x:c>
      <x:c r="N51" s="15" t="str">
        <x:v>Group was linked to possession, dealing, storage, smuggling and trade in protected wildlife products, with supply links from Southern Africa toward Vietnam.</x:v>
      </x:c>
      <x:c r="O51" s="15" t="str">
        <x:v>Nigeria-based transnational trafficking group</x:v>
      </x:c>
      <x:c r="P51" s="15" t="str">
        <x:v>Wildlife Justice Commission</x:v>
      </x:c>
      <x:c r="Q51" s="15" t="str">
        <x:v>English</x:v>
      </x:c>
      <x:c r="R51" s="15" t="str">
        <x:v>NGO / court monitoring</x:v>
      </x:c>
      <x:c r="S51" s="15" t="str">
        <x:v>Three Vietnamese and one Guinean charged with wildlife trafficking in Nigeria convicted and sentenced</x:v>
      </x:c>
      <x:c r="T51" s="15" t="str">
        <x:v>https://wildlifejustice.org/three-vietnamese-and-one-guinean-charged-with-wildlife-trafficking-in-nigeria-convicted-and-sentenced-to-six-years-imprisonment-or-fine-payments/</x:v>
      </x:c>
      <x:c r="U51" s="15" t="str">
        <x:v>High</x:v>
      </x:c>
      <x:c r="V51" s="15" t="str"/>
    </x:row>
    <x:row r="52">
      <x:c r="A52" s="15" t="n">
        <x:v>51</x:v>
      </x:c>
      <x:c r="B52" s="15" t="str">
        <x:v>2023-07-21</x:v>
      </x:c>
      <x:c r="C52" s="15" t="n">
        <x:v>2023</x:v>
      </x:c>
      <x:c r="D52" s="15" t="str">
        <x:v>Person</x:v>
      </x:c>
      <x:c r="E52" s="15" t="str">
        <x:v>Duong Van Thang</x:v>
      </x:c>
      <x:c r="F52" s="15" t="str"/>
      <x:c r="G52" s="15" t="str">
        <x:v>Nigeria / Vietnam</x:v>
      </x:c>
      <x:c r="H52" s="15" t="str">
        <x:v>West Africa / Southeast Asia</x:v>
      </x:c>
      <x:c r="I52" s="15" t="str">
        <x:v>Member of transnational wildlife trafficking group</x:v>
      </x:c>
      <x:c r="J52" s="15" t="str">
        <x:v>Sentenced/Convicted</x:v>
      </x:c>
      <x:c r="K52" s="15" t="str">
        <x:v>Convicted and sentenced in Nigeria for wildlife trafficking offenses.</x:v>
      </x:c>
      <x:c r="L52" s="15" t="str">
        <x:v>Wildlife Justice Commission reported prison sentences or fine alternatives in the case.</x:v>
      </x:c>
      <x:c r="M52" s="15" t="str">
        <x:v>Pangolin scales; elephant ivory; rhino horn; lion bones</x:v>
      </x:c>
      <x:c r="N52" s="15" t="str">
        <x:v>Group was linked to possession, dealing, storage, smuggling and trade in protected wildlife products, with supply links from Southern Africa toward Vietnam.</x:v>
      </x:c>
      <x:c r="O52" s="15" t="str">
        <x:v>Nigeria-based transnational trafficking group</x:v>
      </x:c>
      <x:c r="P52" s="15" t="str">
        <x:v>Wildlife Justice Commission</x:v>
      </x:c>
      <x:c r="Q52" s="15" t="str">
        <x:v>English</x:v>
      </x:c>
      <x:c r="R52" s="15" t="str">
        <x:v>NGO / court monitoring</x:v>
      </x:c>
      <x:c r="S52" s="15" t="str">
        <x:v>Three Vietnamese and one Guinean charged with wildlife trafficking in Nigeria convicted and sentenced</x:v>
      </x:c>
      <x:c r="T52" s="15" t="str">
        <x:v>https://wildlifejustice.org/three-vietnamese-and-one-guinean-charged-with-wildlife-trafficking-in-nigeria-convicted-and-sentenced-to-six-years-imprisonment-or-fine-payments/</x:v>
      </x:c>
      <x:c r="U52" s="15" t="str">
        <x:v>High</x:v>
      </x:c>
      <x:c r="V52" s="15" t="str"/>
    </x:row>
    <x:row r="53">
      <x:c r="A53" s="15" t="n">
        <x:v>52</x:v>
      </x:c>
      <x:c r="B53" s="15" t="str">
        <x:v>2023-07-21</x:v>
      </x:c>
      <x:c r="C53" s="15" t="n">
        <x:v>2023</x:v>
      </x:c>
      <x:c r="D53" s="15" t="str">
        <x:v>Person</x:v>
      </x:c>
      <x:c r="E53" s="15" t="str">
        <x:v>Mory Berrette</x:v>
      </x:c>
      <x:c r="F53" s="15" t="str"/>
      <x:c r="G53" s="15" t="str">
        <x:v>Nigeria / Guinea</x:v>
      </x:c>
      <x:c r="H53" s="15" t="str">
        <x:v>West Africa / Southeast Asia</x:v>
      </x:c>
      <x:c r="I53" s="15" t="str">
        <x:v>Member of transnational wildlife trafficking group</x:v>
      </x:c>
      <x:c r="J53" s="15" t="str">
        <x:v>Sentenced/Convicted</x:v>
      </x:c>
      <x:c r="K53" s="15" t="str">
        <x:v>Convicted and sentenced in Nigeria for wildlife trafficking offenses.</x:v>
      </x:c>
      <x:c r="L53" s="15" t="str">
        <x:v>Wildlife Justice Commission reported prison sentences or fine alternatives in the case.</x:v>
      </x:c>
      <x:c r="M53" s="15" t="str">
        <x:v>Pangolin scales; elephant ivory; rhino horn; lion bones</x:v>
      </x:c>
      <x:c r="N53" s="15" t="str">
        <x:v>Group was linked to possession, dealing, storage, smuggling and trade in protected wildlife products, with supply links from Southern Africa toward Vietnam.</x:v>
      </x:c>
      <x:c r="O53" s="15" t="str">
        <x:v>Nigeria-based transnational trafficking group</x:v>
      </x:c>
      <x:c r="P53" s="15" t="str">
        <x:v>Wildlife Justice Commission</x:v>
      </x:c>
      <x:c r="Q53" s="15" t="str">
        <x:v>English</x:v>
      </x:c>
      <x:c r="R53" s="15" t="str">
        <x:v>NGO / court monitoring</x:v>
      </x:c>
      <x:c r="S53" s="15" t="str">
        <x:v>Three Vietnamese and one Guinean charged with wildlife trafficking in Nigeria convicted and sentenced</x:v>
      </x:c>
      <x:c r="T53" s="15" t="str">
        <x:v>https://wildlifejustice.org/three-vietnamese-and-one-guinean-charged-with-wildlife-trafficking-in-nigeria-convicted-and-sentenced-to-six-years-imprisonment-or-fine-payments/</x:v>
      </x:c>
      <x:c r="U53" s="15" t="str">
        <x:v>High</x:v>
      </x:c>
      <x:c r="V53" s="15" t="str"/>
    </x:row>
    <x:row r="54">
      <x:c r="A54" s="15" t="n">
        <x:v>53</x:v>
      </x:c>
      <x:c r="B54" s="15" t="str">
        <x:v>2021-09-28</x:v>
      </x:c>
      <x:c r="C54" s="15" t="n">
        <x:v>2021</x:v>
      </x:c>
      <x:c r="D54" s="15" t="str">
        <x:v>Person</x:v>
      </x:c>
      <x:c r="E54" s="15" t="str">
        <x:v>Lin Yunhua</x:v>
      </x:c>
      <x:c r="F54" s="15" t="str">
        <x:v>Yunhua Lin</x:v>
      </x:c>
      <x:c r="G54" s="15" t="str">
        <x:v>Malawi / China</x:v>
      </x:c>
      <x:c r="H54" s="15" t="str">
        <x:v>Southern Africa / East Asia</x:v>
      </x:c>
      <x:c r="I54" s="15" t="str">
        <x:v>Wildlife crime syndicate leader</x:v>
      </x:c>
      <x:c r="J54" s="15" t="str">
        <x:v>Sentenced/Convicted</x:v>
      </x:c>
      <x:c r="K54" s="15" t="str">
        <x:v>Convicted in Malawi on wildlife trafficking and money-laundering offenses.</x:v>
      </x:c>
      <x:c r="L54" s="15" t="str">
        <x:v>14 years for rhino-horn offenses with a concurrent six-year money-laundering term reported.</x:v>
      </x:c>
      <x:c r="M54" s="15" t="str">
        <x:v>Rhinoceros horn; other wildlife products</x:v>
      </x:c>
      <x:c r="N54" s="15" t="str">
        <x:v>EIA described him as a notorious kingpin in a syndicate involved in protected wildlife trafficking.</x:v>
      </x:c>
      <x:c r="O54" s="15" t="str">
        <x:v>Lin-Zhang syndicate</x:v>
      </x:c>
      <x:c r="P54" s="15" t="str">
        <x:v>Environmental Investigation Agency</x:v>
      </x:c>
      <x:c r="Q54" s="15" t="str">
        <x:v>English</x:v>
      </x:c>
      <x:c r="R54" s="15" t="str">
        <x:v>NGO / court reporting</x:v>
      </x:c>
      <x:c r="S54" s="15" t="str">
        <x:v>Yunhua Lin, notorious kingpin of wildlife crime syndicate, jailed for 14 years in Malawi</x:v>
      </x:c>
      <x:c r="T54" s="15" t="str">
        <x:v>https://eia-international.org/news/yunhua-lin-notorious-kingpin-of-wildlife-crime-syndicate-is-jailed-for-14-years-in-malawi/</x:v>
      </x:c>
      <x:c r="U54" s="15" t="str">
        <x:v>High</x:v>
      </x:c>
      <x:c r="V54" s="15" t="str"/>
    </x:row>
    <x:row r="55">
      <x:c r="A55" s="15" t="n">
        <x:v>54</x:v>
      </x:c>
      <x:c r="B55" s="15" t="str">
        <x:v>2021-09-28</x:v>
      </x:c>
      <x:c r="C55" s="15" t="n">
        <x:v>2021</x:v>
      </x:c>
      <x:c r="D55" s="15" t="str">
        <x:v>Network</x:v>
      </x:c>
      <x:c r="E55" s="15" t="str">
        <x:v>Lin-Zhang syndicate</x:v>
      </x:c>
      <x:c r="F55" s="15" t="str"/>
      <x:c r="G55" s="15" t="str">
        <x:v>Malawi / transnational</x:v>
      </x:c>
      <x:c r="H55" s="15" t="str">
        <x:v>Southern Africa / East Asia</x:v>
      </x:c>
      <x:c r="I55" s="15" t="str">
        <x:v>Wildlife trafficking syndicate</x:v>
      </x:c>
      <x:c r="J55" s="15" t="str">
        <x:v>Sentenced/Convicted</x:v>
      </x:c>
      <x:c r="K55" s="15" t="str">
        <x:v>Multiple members of the syndicate were convicted in Malawi wildlife-crime prosecutions.</x:v>
      </x:c>
      <x:c r="L55" s="15" t="str">
        <x:v>Members received substantial combined prison sentences.</x:v>
      </x:c>
      <x:c r="M55" s="15" t="str">
        <x:v>Rhinoceros horn; elephant ivory; hippo teeth; pangolin scales</x:v>
      </x:c>
      <x:c r="N55" s="15" t="str">
        <x:v>Network associated with trafficking multiple high-value protected wildlife commodities.</x:v>
      </x:c>
      <x:c r="O55" s="15" t="str"/>
      <x:c r="P55" s="15" t="str">
        <x:v>Environmental Investigation Agency</x:v>
      </x:c>
      <x:c r="Q55" s="15" t="str">
        <x:v>English</x:v>
      </x:c>
      <x:c r="R55" s="15" t="str">
        <x:v>NGO / court reporting</x:v>
      </x:c>
      <x:c r="S55" s="15" t="str">
        <x:v>Yunhua Lin, notorious kingpin of wildlife crime syndicate, jailed for 14 years in Malawi</x:v>
      </x:c>
      <x:c r="T55" s="15" t="str">
        <x:v>https://eia-international.org/news/yunhua-lin-notorious-kingpin-of-wildlife-crime-syndicate-is-jailed-for-14-years-in-malawi/</x:v>
      </x:c>
      <x:c r="U55" s="15" t="str">
        <x:v>High</x:v>
      </x:c>
      <x:c r="V55" s="15" t="str">
        <x:v>Network row summarizes convictions of members rather than a legal judgment against a corporate entity.</x:v>
      </x:c>
    </x:row>
    <x:row r="56">
      <x:c r="A56" s="15" t="n">
        <x:v>55</x:v>
      </x:c>
      <x:c r="B56" s="15" t="str">
        <x:v>2024-09-19</x:v>
      </x:c>
      <x:c r="C56" s="15" t="n">
        <x:v>2024</x:v>
      </x:c>
      <x:c r="D56" s="15" t="str">
        <x:v>Person</x:v>
      </x:c>
      <x:c r="E56" s="15" t="str">
        <x:v>Simon Valoi</x:v>
      </x:c>
      <x:c r="F56" s="15" t="str">
        <x:v>Navara</x:v>
      </x:c>
      <x:c r="G56" s="15" t="str">
        <x:v>Mozambique</x:v>
      </x:c>
      <x:c r="H56" s="15" t="str">
        <x:v>Southern Africa</x:v>
      </x:c>
      <x:c r="I56" s="15" t="str">
        <x:v>Rhino poaching / trafficking boss</x:v>
      </x:c>
      <x:c r="J56" s="15" t="str">
        <x:v>Sentenced/Convicted</x:v>
      </x:c>
      <x:c r="K56" s="15" t="str">
        <x:v>Convicted of illegal wildlife trade, criminal association and money laundering.</x:v>
      </x:c>
      <x:c r="L56" s="15" t="str">
        <x:v>27 years' imprisonment reported.</x:v>
      </x:c>
      <x:c r="M56" s="15" t="str">
        <x:v>Rhinoceros horn</x:v>
      </x:c>
      <x:c r="N56" s="15" t="str">
        <x:v>Wildlife Justice Commission described him as a prolific rhino-poaching boss targeting Kruger National Park.</x:v>
      </x:c>
      <x:c r="O56" s="15" t="str"/>
      <x:c r="P56" s="15" t="str">
        <x:v>Wildlife Justice Commission</x:v>
      </x:c>
      <x:c r="Q56" s="15" t="str">
        <x:v>English</x:v>
      </x:c>
      <x:c r="R56" s="15" t="str">
        <x:v>NGO / court monitoring</x:v>
      </x:c>
      <x:c r="S56" s="15" t="str">
        <x:v>World Rhino Day 2024: progress and persistent challenges in the fight against rhino horn trafficking</x:v>
      </x:c>
      <x:c r="T56" s="15" t="str">
        <x:v>https://wildlifejustice.org/world-rhino-day-2024-progress-and-persistent-challenges-in-the-fight-against-rhino-horn-trafficking/</x:v>
      </x:c>
      <x:c r="U56" s="15" t="str">
        <x:v>High</x:v>
      </x:c>
      <x:c r="V56" s="15" t="str"/>
    </x:row>
    <x:row r="57">
      <x:c r="A57" s="15" t="n">
        <x:v>56</x:v>
      </x:c>
      <x:c r="B57" s="15" t="str">
        <x:v>2024-09-19</x:v>
      </x:c>
      <x:c r="C57" s="15" t="n">
        <x:v>2024</x:v>
      </x:c>
      <x:c r="D57" s="15" t="str">
        <x:v>Person</x:v>
      </x:c>
      <x:c r="E57" s="15" t="str">
        <x:v>Paulo Zucula</x:v>
      </x:c>
      <x:c r="F57" s="15" t="str"/>
      <x:c r="G57" s="15" t="str">
        <x:v>Mozambique</x:v>
      </x:c>
      <x:c r="H57" s="15" t="str">
        <x:v>Southern Africa</x:v>
      </x:c>
      <x:c r="I57" s="15" t="str">
        <x:v>Senior associate in rhino trafficking group</x:v>
      </x:c>
      <x:c r="J57" s="15" t="str">
        <x:v>Sentenced/Convicted</x:v>
      </x:c>
      <x:c r="K57" s="15" t="str">
        <x:v>Convicted with Simon Valoi in a major organized wildlife crime case.</x:v>
      </x:c>
      <x:c r="L57" s="15" t="str">
        <x:v>24 years' imprisonment reported.</x:v>
      </x:c>
      <x:c r="M57" s="15" t="str">
        <x:v>Rhinoceros horn</x:v>
      </x:c>
      <x:c r="N57" s="15" t="str">
        <x:v>Identified as Valoi's right-hand man in a rhino poaching and trafficking group.</x:v>
      </x:c>
      <x:c r="O57" s="15" t="str">
        <x:v>Simon Valoi network</x:v>
      </x:c>
      <x:c r="P57" s="15" t="str">
        <x:v>Wildlife Justice Commission</x:v>
      </x:c>
      <x:c r="Q57" s="15" t="str">
        <x:v>English</x:v>
      </x:c>
      <x:c r="R57" s="15" t="str">
        <x:v>NGO / court monitoring</x:v>
      </x:c>
      <x:c r="S57" s="15" t="str">
        <x:v>World Rhino Day 2024: progress and persistent challenges in the fight against rhino horn trafficking</x:v>
      </x:c>
      <x:c r="T57" s="15" t="str">
        <x:v>https://wildlifejustice.org/world-rhino-day-2024-progress-and-persistent-challenges-in-the-fight-against-rhino-horn-trafficking/</x:v>
      </x:c>
      <x:c r="U57" s="15" t="str">
        <x:v>High</x:v>
      </x:c>
      <x:c r="V57" s="15" t="str"/>
    </x:row>
    <x:row r="58">
      <x:c r="A58" s="15" t="n">
        <x:v>57</x:v>
      </x:c>
      <x:c r="B58" s="15" t="str">
        <x:v>2024-09-19</x:v>
      </x:c>
      <x:c r="C58" s="15" t="n">
        <x:v>2024</x:v>
      </x:c>
      <x:c r="D58" s="15" t="str">
        <x:v>Person</x:v>
      </x:c>
      <x:c r="E58" s="15" t="str">
        <x:v>Chabane Assuba</x:v>
      </x:c>
      <x:c r="F58" s="15" t="str"/>
      <x:c r="G58" s="15" t="str">
        <x:v>Mozambique</x:v>
      </x:c>
      <x:c r="H58" s="15" t="str">
        <x:v>Southern Africa</x:v>
      </x:c>
      <x:c r="I58" s="15" t="str">
        <x:v>Rhino horn supplier / facilitator</x:v>
      </x:c>
      <x:c r="J58" s="15" t="str">
        <x:v>Sentenced/Convicted</x:v>
      </x:c>
      <x:c r="K58" s="15" t="str">
        <x:v>Convicted of wildlife trafficking, money laundering and criminal association.</x:v>
      </x:c>
      <x:c r="L58" s="15" t="str">
        <x:v>30 years' imprisonment reported.</x:v>
      </x:c>
      <x:c r="M58" s="15" t="str">
        <x:v>Rhinoceros horn</x:v>
      </x:c>
      <x:c r="N58" s="15" t="str">
        <x:v>Identified as a major supplier and facilitator in rhino-horn trafficking.</x:v>
      </x:c>
      <x:c r="O58" s="15" t="str"/>
      <x:c r="P58" s="15" t="str">
        <x:v>Wildlife Justice Commission</x:v>
      </x:c>
      <x:c r="Q58" s="15" t="str">
        <x:v>English</x:v>
      </x:c>
      <x:c r="R58" s="15" t="str">
        <x:v>NGO / court monitoring</x:v>
      </x:c>
      <x:c r="S58" s="15" t="str">
        <x:v>World Rhino Day 2024: progress and persistent challenges in the fight against rhino horn trafficking</x:v>
      </x:c>
      <x:c r="T58" s="15" t="str">
        <x:v>https://wildlifejustice.org/world-rhino-day-2024-progress-and-persistent-challenges-in-the-fight-against-rhino-horn-trafficking/</x:v>
      </x:c>
      <x:c r="U58" s="15" t="str">
        <x:v>High</x:v>
      </x:c>
      <x:c r="V58" s="15" t="str"/>
    </x:row>
    <x:row r="59">
      <x:c r="A59" s="15" t="n">
        <x:v>58</x:v>
      </x:c>
      <x:c r="B59" s="15" t="str">
        <x:v>2025-01-18</x:v>
      </x:c>
      <x:c r="C59" s="15" t="n">
        <x:v>2025</x:v>
      </x:c>
      <x:c r="D59" s="15" t="str">
        <x:v>Person</x:v>
      </x:c>
      <x:c r="E59" s="15" t="str">
        <x:v>Francis Kipampa</x:v>
      </x:c>
      <x:c r="F59" s="15" t="str"/>
      <x:c r="G59" s="15" t="str">
        <x:v>South Africa / Tanzania</x:v>
      </x:c>
      <x:c r="H59" s="15" t="str">
        <x:v>Southern Africa / East Africa</x:v>
      </x:c>
      <x:c r="I59" s="15" t="str">
        <x:v>Rhino horn trafficker</x:v>
      </x:c>
      <x:c r="J59" s="15" t="str">
        <x:v>Sentenced/Convicted</x:v>
      </x:c>
      <x:c r="K59" s="15" t="str">
        <x:v>Pleaded guilty in South Africa to wildlife trafficking and related offenses.</x:v>
      </x:c>
      <x:c r="L59" s="15" t="str">
        <x:v>18 years' imprisonment reported.</x:v>
      </x:c>
      <x:c r="M59" s="15" t="str">
        <x:v>Rhinoceros horn</x:v>
      </x:c>
      <x:c r="N59" s="15" t="str">
        <x:v>Charged in a case involving conspiracy to traffic rhino horn and laundering of alleged rhino-horn proceeds.</x:v>
      </x:c>
      <x:c r="O59" s="15" t="str"/>
      <x:c r="P59" s="15" t="str">
        <x:v>Save the Rhino International</x:v>
      </x:c>
      <x:c r="Q59" s="15" t="str">
        <x:v>English</x:v>
      </x:c>
      <x:c r="R59" s="15" t="str">
        <x:v>NGO / court reporting</x:v>
      </x:c>
      <x:c r="S59" s="15" t="str">
        <x:v>Landmark case: rhino horn trafficker sentenced to 18 years</x:v>
      </x:c>
      <x:c r="T59" s="15" t="str">
        <x:v>https://www.savetherhino.org/poaching-crisis/landmark-case-rhino-horn-trafficker-sentenced-to-18-years/</x:v>
      </x:c>
      <x:c r="U59" s="15" t="str">
        <x:v>High</x:v>
      </x:c>
      <x:c r="V59" s="15" t="str"/>
    </x:row>
    <x:row r="60">
      <x:c r="A60" s="15" t="n">
        <x:v>59</x:v>
      </x:c>
      <x:c r="B60" s="15" t="str">
        <x:v>2025-01-18</x:v>
      </x:c>
      <x:c r="C60" s="15" t="n">
        <x:v>2025</x:v>
      </x:c>
      <x:c r="D60" s="15" t="str">
        <x:v>Person</x:v>
      </x:c>
      <x:c r="E60" s="15" t="str">
        <x:v>Petrus Sidney Mabuza</x:v>
      </x:c>
      <x:c r="F60" s="15" t="str"/>
      <x:c r="G60" s="15" t="str">
        <x:v>South Africa</x:v>
      </x:c>
      <x:c r="H60" s="15" t="str">
        <x:v>Southern Africa</x:v>
      </x:c>
      <x:c r="I60" s="15" t="str">
        <x:v>Lead suspect in rhino-poaching syndicate</x:v>
      </x:c>
      <x:c r="J60" s="15" t="str">
        <x:v>Investigated/Alleged</x:v>
      </x:c>
      <x:c r="K60" s="15" t="str">
        <x:v>Identified in reporting as the lead suspect in the wider rhino-poaching syndicate associated with the Kipampa case.</x:v>
      </x:c>
      <x:c r="L60" s="15" t="str">
        <x:v>Killed in June 2021; no conviction recorded in the cited source.</x:v>
      </x:c>
      <x:c r="M60" s="15" t="str">
        <x:v>Rhinoceros horn</x:v>
      </x:c>
      <x:c r="N60" s="15" t="str">
        <x:v>Named as a key investigative subject in a major South African rhino-poaching network.</x:v>
      </x:c>
      <x:c r="O60" s="15" t="str">
        <x:v>Francis Kipampa / Mpumalanga rhino network</x:v>
      </x:c>
      <x:c r="P60" s="15" t="str">
        <x:v>Save the Rhino International</x:v>
      </x:c>
      <x:c r="Q60" s="15" t="str">
        <x:v>English</x:v>
      </x:c>
      <x:c r="R60" s="15" t="str">
        <x:v>NGO / court reporting</x:v>
      </x:c>
      <x:c r="S60" s="15" t="str">
        <x:v>Landmark case: rhino horn trafficker sentenced to 18 years</x:v>
      </x:c>
      <x:c r="T60" s="15" t="str">
        <x:v>https://www.savetherhino.org/poaching-crisis/landmark-case-rhino-horn-trafficker-sentenced-to-18-years/</x:v>
      </x:c>
      <x:c r="U60" s="15" t="str">
        <x:v>High</x:v>
      </x:c>
      <x:c r="V60" s="15" t="str">
        <x:v>Investigative designation only; subject was deceased before a final criminal judgment.</x:v>
      </x:c>
    </x:row>
    <x:row r="61">
      <x:c r="A61" s="15" t="n">
        <x:v>60</x:v>
      </x:c>
      <x:c r="B61" s="15" t="str">
        <x:v>2026-06-18</x:v>
      </x:c>
      <x:c r="C61" s="15" t="n">
        <x:v>2026</x:v>
      </x:c>
      <x:c r="D61" s="15" t="str">
        <x:v>Person</x:v>
      </x:c>
      <x:c r="E61" s="15" t="str">
        <x:v>Dawie Groenewald</x:v>
      </x:c>
      <x:c r="F61" s="15" t="str"/>
      <x:c r="G61" s="15" t="str">
        <x:v>South Africa</x:v>
      </x:c>
      <x:c r="H61" s="15" t="str">
        <x:v>Southern Africa</x:v>
      </x:c>
      <x:c r="I61" s="15" t="str">
        <x:v>Game farmer / alleged syndicate mastermind</x:v>
      </x:c>
      <x:c r="J61" s="15" t="str">
        <x:v>Sentenced/Convicted</x:v>
      </x:c>
      <x:c r="K61" s="15" t="str">
        <x:v>Sentenced after a long-running South African rhino case involving extensive wildlife and organized-crime charges.</x:v>
      </x:c>
      <x:c r="L61" s="15" t="str">
        <x:v>R2 million fine or four years' imprisonment reported.</x:v>
      </x:c>
      <x:c r="M61" s="15" t="str">
        <x:v>Rhinoceros; rhinoceros horn</x:v>
      </x:c>
      <x:c r="N61" s="15" t="str">
        <x:v>Case included illegal hunting, dehorning, racketeering and money-laundering allegations and convictions after a prolonged prosecution.</x:v>
      </x:c>
      <x:c r="O61" s="15" t="str"/>
      <x:c r="P61" s="15" t="str">
        <x:v>The Guardian</x:v>
      </x:c>
      <x:c r="Q61" s="15" t="str">
        <x:v>English</x:v>
      </x:c>
      <x:c r="R61" s="15" t="str">
        <x:v>Major media</x:v>
      </x:c>
      <x:c r="S61" s="15" t="str">
        <x:v>South Africa men sentenced in long-running rhino horn trafficking case</x:v>
      </x:c>
      <x:c r="T61" s="15" t="str">
        <x:v>https://www.theguardian.com/world/2026/jun/18/south-africa-men-sentenced-rhino-horn-trafficking-case</x:v>
      </x:c>
      <x:c r="U61" s="15" t="str">
        <x:v>High</x:v>
      </x:c>
      <x:c r="V61" s="15" t="str"/>
    </x:row>
    <x:row r="62">
      <x:c r="A62" s="15" t="n">
        <x:v>61</x:v>
      </x:c>
      <x:c r="B62" s="15" t="str">
        <x:v>2026-06-18</x:v>
      </x:c>
      <x:c r="C62" s="15" t="n">
        <x:v>2026</x:v>
      </x:c>
      <x:c r="D62" s="15" t="str">
        <x:v>Person</x:v>
      </x:c>
      <x:c r="E62" s="15" t="str">
        <x:v>Tielman Erasmus</x:v>
      </x:c>
      <x:c r="F62" s="15" t="str"/>
      <x:c r="G62" s="15" t="str">
        <x:v>South Africa</x:v>
      </x:c>
      <x:c r="H62" s="15" t="str">
        <x:v>Southern Africa</x:v>
      </x:c>
      <x:c r="I62" s="15" t="str">
        <x:v>Co-defendant in rhino trafficking case</x:v>
      </x:c>
      <x:c r="J62" s="15" t="str">
        <x:v>Sentenced/Convicted</x:v>
      </x:c>
      <x:c r="K62" s="15" t="str">
        <x:v>Sentenced in the same long-running South African rhino case as Dawie Groenewald.</x:v>
      </x:c>
      <x:c r="L62" s="15" t="str">
        <x:v>R100,000 fine or three years' imprisonment reported.</x:v>
      </x:c>
      <x:c r="M62" s="15" t="str">
        <x:v>Rhinoceros; rhinoceros horn</x:v>
      </x:c>
      <x:c r="N62" s="15" t="str">
        <x:v>Convicted in a major case involving illegal rhino hunting and related organized-crime conduct.</x:v>
      </x:c>
      <x:c r="O62" s="15" t="str">
        <x:v>Dawie Groenewald case</x:v>
      </x:c>
      <x:c r="P62" s="15" t="str">
        <x:v>The Guardian</x:v>
      </x:c>
      <x:c r="Q62" s="15" t="str">
        <x:v>English</x:v>
      </x:c>
      <x:c r="R62" s="15" t="str">
        <x:v>Major media</x:v>
      </x:c>
      <x:c r="S62" s="15" t="str">
        <x:v>South Africa men sentenced in long-running rhino horn trafficking case</x:v>
      </x:c>
      <x:c r="T62" s="15" t="str">
        <x:v>https://www.theguardian.com/world/2026/jun/18/south-africa-men-sentenced-rhino-horn-trafficking-case</x:v>
      </x:c>
      <x:c r="U62" s="15" t="str">
        <x:v>High</x:v>
      </x:c>
      <x:c r="V62" s="15" t="str"/>
    </x:row>
    <x:row r="63">
      <x:c r="A63" s="15" t="n">
        <x:v>62</x:v>
      </x:c>
      <x:c r="B63" s="15" t="str">
        <x:v>2026-03-24</x:v>
      </x:c>
      <x:c r="C63" s="15" t="n">
        <x:v>2026</x:v>
      </x:c>
      <x:c r="D63" s="15" t="str">
        <x:v>Person</x:v>
      </x:c>
      <x:c r="E63" s="15" t="str">
        <x:v>John Hume</x:v>
      </x:c>
      <x:c r="F63" s="15" t="str"/>
      <x:c r="G63" s="15" t="str">
        <x:v>South Africa</x:v>
      </x:c>
      <x:c r="H63" s="15" t="str">
        <x:v>Southern Africa</x:v>
      </x:c>
      <x:c r="I63" s="15" t="str">
        <x:v>Rhino breeder / accused trafficking syndicate leader</x:v>
      </x:c>
      <x:c r="J63" s="15" t="str">
        <x:v>Charged/Indicted</x:v>
      </x:c>
      <x:c r="K63" s="15" t="str">
        <x:v>Facing 55 charges including racketeering, fraud, theft and rhino-horn trafficking; denies the allegations.</x:v>
      </x:c>
      <x:c r="L63" s="15" t="str">
        <x:v>Proceedings pending as of cited March 2026 reporting.</x:v>
      </x:c>
      <x:c r="M63" s="15" t="str">
        <x:v>Rhinoceros horn</x:v>
      </x:c>
      <x:c r="N63" s="15" t="str">
        <x:v>Prosecutors allege falsified domestic-sale permits were used to channel 964 horns toward buyers in Vietnam and China.</x:v>
      </x:c>
      <x:c r="O63" s="15" t="str"/>
      <x:c r="P63" s="15" t="str">
        <x:v>Financial Times</x:v>
      </x:c>
      <x:c r="Q63" s="15" t="str">
        <x:v>English</x:v>
      </x:c>
      <x:c r="R63" s="15" t="str">
        <x:v>Major media / court reporting</x:v>
      </x:c>
      <x:c r="S63" s="15" t="str">
        <x:v>On the trail of South Africa's 'rhino baron'</x:v>
      </x:c>
      <x:c r="T63" s="15" t="str">
        <x:v>https://www.ft.com/content/f1de683f-6006-4652-82e7-95dc723a3c95</x:v>
      </x:c>
      <x:c r="U63" s="15" t="str">
        <x:v>High</x:v>
      </x:c>
      <x:c r="V63" s="15" t="str">
        <x:v>Pending criminal case. Hume denies the allegations; no conviction should be inferred.</x:v>
      </x:c>
    </x:row>
    <x:row r="64">
      <x:c r="A64" s="15" t="n">
        <x:v>63</x:v>
      </x:c>
      <x:c r="B64" s="15" t="str">
        <x:v>2026-06-10</x:v>
      </x:c>
      <x:c r="C64" s="15" t="n">
        <x:v>2026</x:v>
      </x:c>
      <x:c r="D64" s="15" t="str">
        <x:v>Person</x:v>
      </x:c>
      <x:c r="E64" s="15" t="str">
        <x:v>Edward Motlatsi Phiri</x:v>
      </x:c>
      <x:c r="F64" s="15" t="str"/>
      <x:c r="G64" s="15" t="str">
        <x:v>South Africa</x:v>
      </x:c>
      <x:c r="H64" s="15" t="str">
        <x:v>Southern Africa</x:v>
      </x:c>
      <x:c r="I64" s="15" t="str">
        <x:v>Pangolin trafficker</x:v>
      </x:c>
      <x:c r="J64" s="15" t="str">
        <x:v>Sentenced/Convicted</x:v>
      </x:c>
      <x:c r="K64" s="15" t="str">
        <x:v>Convicted of smuggling a Temminck's pangolin.</x:v>
      </x:c>
      <x:c r="L64" s="15" t="str">
        <x:v>Eight years' imprisonment reported.</x:v>
      </x:c>
      <x:c r="M64" s="15" t="str">
        <x:v>Temminck's pangolin</x:v>
      </x:c>
      <x:c r="N64" s="15" t="str">
        <x:v>Case involved delivery and trafficking of a live protected pangolin.</x:v>
      </x:c>
      <x:c r="O64" s="15" t="str"/>
      <x:c r="P64" s="15" t="str">
        <x:v>Mongabay</x:v>
      </x:c>
      <x:c r="Q64" s="15" t="str">
        <x:v>English</x:v>
      </x:c>
      <x:c r="R64" s="15" t="str">
        <x:v>News / conservation reporting</x:v>
      </x:c>
      <x:c r="S64" s="15" t="str">
        <x:v>Two pangolin traffickers in South Africa sentenced to eight years in prison</x:v>
      </x:c>
      <x:c r="T64" s="15" t="str">
        <x:v>https://news.mongabay.com/short-article/two-pangolin-traffickers-in-south-africa-sentenced-to-eight-years-in-prison/</x:v>
      </x:c>
      <x:c r="U64" s="15" t="str">
        <x:v>High</x:v>
      </x:c>
      <x:c r="V64" s="15" t="str"/>
    </x:row>
    <x:row r="65">
      <x:c r="A65" s="15" t="n">
        <x:v>64</x:v>
      </x:c>
      <x:c r="B65" s="15" t="str">
        <x:v>2025-09-16</x:v>
      </x:c>
      <x:c r="C65" s="15" t="n">
        <x:v>2025</x:v>
      </x:c>
      <x:c r="D65" s="15" t="str">
        <x:v>Person</x:v>
      </x:c>
      <x:c r="E65" s="15" t="str">
        <x:v>Feisal Mohamed Ali</x:v>
      </x:c>
      <x:c r="F65" s="15" t="str"/>
      <x:c r="G65" s="15" t="str">
        <x:v>Kenya</x:v>
      </x:c>
      <x:c r="H65" s="15" t="str">
        <x:v>East Africa</x:v>
      </x:c>
      <x:c r="I65" s="15" t="str">
        <x:v>Rhino-horn trafficking defendant</x:v>
      </x:c>
      <x:c r="J65" s="15" t="str">
        <x:v>Charged/Indicted</x:v>
      </x:c>
      <x:c r="K65" s="15" t="str">
        <x:v>Charged in Mombasa with illegal trade in two rhino horns and pleaded not guilty.</x:v>
      </x:c>
      <x:c r="L65" s="15" t="str">
        <x:v>Case pending at cited date. An earlier 2016 ivory conviction had been overturned on appeal in 2018.</x:v>
      </x:c>
      <x:c r="M65" s="15" t="str">
        <x:v>Rhinoceros horn; historical elephant ivory case</x:v>
      </x:c>
      <x:c r="N65" s="15" t="str">
        <x:v>2025 case concerns alleged illegal trade in two rhino horns valued at KSh8.2 million.</x:v>
      </x:c>
      <x:c r="O65" s="15" t="str"/>
      <x:c r="P65" s="15" t="str">
        <x:v>Reuters</x:v>
      </x:c>
      <x:c r="Q65" s="15" t="str">
        <x:v>English</x:v>
      </x:c>
      <x:c r="R65" s="15" t="str">
        <x:v>Major media / court reporting</x:v>
      </x:c>
      <x:c r="S65" s="15" t="str">
        <x:v>Kenya charges man with trading rhino horn years after ivory conviction overturned</x:v>
      </x:c>
      <x:c r="T65" s="15" t="str">
        <x:v>https://www.reuters.com/business/environment/kenya-charges-man-trading-rhino-horn-years-after-conviction-ivory-smuggling-2025-09-16/</x:v>
      </x:c>
      <x:c r="U65" s="15" t="str">
        <x:v>High</x:v>
      </x:c>
      <x:c r="V65" s="15" t="str">
        <x:v>2025 rhino-horn charge is pending; defendant pleaded not guilty.</x:v>
      </x:c>
    </x:row>
    <x:row r="66">
      <x:c r="A66" s="15" t="n">
        <x:v>65</x:v>
      </x:c>
      <x:c r="B66" s="15" t="str">
        <x:v>2025-09-16</x:v>
      </x:c>
      <x:c r="C66" s="15" t="n">
        <x:v>2025</x:v>
      </x:c>
      <x:c r="D66" s="15" t="str">
        <x:v>Person</x:v>
      </x:c>
      <x:c r="E66" s="15" t="str">
        <x:v>Mohammed Hassan</x:v>
      </x:c>
      <x:c r="F66" s="15" t="str"/>
      <x:c r="G66" s="15" t="str">
        <x:v>Kenya</x:v>
      </x:c>
      <x:c r="H66" s="15" t="str">
        <x:v>East Africa</x:v>
      </x:c>
      <x:c r="I66" s="15" t="str">
        <x:v>Co-defendant in rhino-horn case</x:v>
      </x:c>
      <x:c r="J66" s="15" t="str">
        <x:v>Charged/Indicted</x:v>
      </x:c>
      <x:c r="K66" s="15" t="str">
        <x:v>Charged with Feisal Mohamed Ali over alleged illegal trade in two rhino horns; pleaded not guilty.</x:v>
      </x:c>
      <x:c r="L66" s="15" t="str">
        <x:v>Case pending at cited date.</x:v>
      </x:c>
      <x:c r="M66" s="15" t="str">
        <x:v>Rhinoceros horn</x:v>
      </x:c>
      <x:c r="N66" s="15" t="str">
        <x:v>Co-accused in the Mombasa rhino-horn trafficking case.</x:v>
      </x:c>
      <x:c r="O66" s="15" t="str">
        <x:v>Feisal Mohamed Ali case</x:v>
      </x:c>
      <x:c r="P66" s="15" t="str">
        <x:v>Reuters</x:v>
      </x:c>
      <x:c r="Q66" s="15" t="str">
        <x:v>English</x:v>
      </x:c>
      <x:c r="R66" s="15" t="str">
        <x:v>Major media / court reporting</x:v>
      </x:c>
      <x:c r="S66" s="15" t="str">
        <x:v>Kenya charges man with trading rhino horn years after ivory conviction overturned</x:v>
      </x:c>
      <x:c r="T66" s="15" t="str">
        <x:v>https://www.reuters.com/business/environment/kenya-charges-man-trading-rhino-horn-years-after-conviction-ivory-smuggling-2025-09-16/</x:v>
      </x:c>
      <x:c r="U66" s="15" t="str">
        <x:v>High</x:v>
      </x:c>
      <x:c r="V66" s="15" t="str">
        <x:v>Pending charge; defendant pleaded not guilty.</x:v>
      </x:c>
    </x:row>
    <x:row r="67">
      <x:c r="A67" s="15" t="n">
        <x:v>66</x:v>
      </x:c>
      <x:c r="B67" s="15" t="str">
        <x:v>2022-11-01</x:v>
      </x:c>
      <x:c r="C67" s="15" t="n">
        <x:v>2022</x:v>
      </x:c>
      <x:c r="D67" s="15" t="str">
        <x:v>Person</x:v>
      </x:c>
      <x:c r="E67" s="15" t="str">
        <x:v>Herdade Lokua</x:v>
      </x:c>
      <x:c r="F67" s="15" t="str"/>
      <x:c r="G67" s="15" t="str">
        <x:v>Democratic Republic of the Congo / United States</x:v>
      </x:c>
      <x:c r="H67" s="15" t="str">
        <x:v>Central Africa / North America</x:v>
      </x:c>
      <x:c r="I67" s="15" t="str">
        <x:v>International wildlife trafficker</x:v>
      </x:c>
      <x:c r="J67" s="15" t="str">
        <x:v>Sentenced/Convicted</x:v>
      </x:c>
      <x:c r="K67" s="15" t="str">
        <x:v>Convicted after traveling to the United States to negotiate illegal wildlife transactions.</x:v>
      </x:c>
      <x:c r="L67" s="15" t="str">
        <x:v>20 months' imprisonment.</x:v>
      </x:c>
      <x:c r="M67" s="15" t="str">
        <x:v>Elephant ivory; white rhinoceros horn; pangolin scales</x:v>
      </x:c>
      <x:c r="N67" s="15" t="str">
        <x:v>Trafficked ivory and rhino horn and negotiated over pangolin scales.</x:v>
      </x:c>
      <x:c r="O67" s="15" t="str"/>
      <x:c r="P67" s="15" t="str">
        <x:v>U.S. Department of Justice</x:v>
      </x:c>
      <x:c r="Q67" s="15" t="str">
        <x:v>English</x:v>
      </x:c>
      <x:c r="R67" s="15" t="str">
        <x:v>Official enforcement</x:v>
      </x:c>
      <x:c r="S67" s="15" t="str">
        <x:v>Two foreign nationals sentenced for trafficking ivory and rhinoceros horn</x:v>
      </x:c>
      <x:c r="T67" s="15" t="str">
        <x:v>https://www.justice.gov/usao-wdwa/pr/two-foreign-nationals-sentenced-prison-trafficking-ivory-and-rhinoceros-horn-democratic</x:v>
      </x:c>
      <x:c r="U67" s="15" t="str">
        <x:v>High</x:v>
      </x:c>
      <x:c r="V67" s="15" t="str"/>
    </x:row>
    <x:row r="68">
      <x:c r="A68" s="15" t="n">
        <x:v>67</x:v>
      </x:c>
      <x:c r="B68" s="15" t="str">
        <x:v>2022-11-01</x:v>
      </x:c>
      <x:c r="C68" s="15" t="n">
        <x:v>2022</x:v>
      </x:c>
      <x:c r="D68" s="15" t="str">
        <x:v>Person</x:v>
      </x:c>
      <x:c r="E68" s="15" t="str">
        <x:v>Jospin Mujangi</x:v>
      </x:c>
      <x:c r="F68" s="15" t="str"/>
      <x:c r="G68" s="15" t="str">
        <x:v>Democratic Republic of the Congo / United States</x:v>
      </x:c>
      <x:c r="H68" s="15" t="str">
        <x:v>Central Africa / North America</x:v>
      </x:c>
      <x:c r="I68" s="15" t="str">
        <x:v>International wildlife trafficker</x:v>
      </x:c>
      <x:c r="J68" s="15" t="str">
        <x:v>Sentenced/Convicted</x:v>
      </x:c>
      <x:c r="K68" s="15" t="str">
        <x:v>Convicted in the same DRC-to-U.S. wildlife trafficking case.</x:v>
      </x:c>
      <x:c r="L68" s="15" t="str">
        <x:v>14 months' imprisonment.</x:v>
      </x:c>
      <x:c r="M68" s="15" t="str">
        <x:v>Elephant ivory; white rhinoceros horn; pangolin scales</x:v>
      </x:c>
      <x:c r="N68" s="15" t="str">
        <x:v>Trafficked ivory and rhino horn and negotiated over pangolin scales.</x:v>
      </x:c>
      <x:c r="O68" s="15" t="str"/>
      <x:c r="P68" s="15" t="str">
        <x:v>U.S. Department of Justice</x:v>
      </x:c>
      <x:c r="Q68" s="15" t="str">
        <x:v>English</x:v>
      </x:c>
      <x:c r="R68" s="15" t="str">
        <x:v>Official enforcement</x:v>
      </x:c>
      <x:c r="S68" s="15" t="str">
        <x:v>Two foreign nationals sentenced for trafficking ivory and rhinoceros horn</x:v>
      </x:c>
      <x:c r="T68" s="15" t="str">
        <x:v>https://www.justice.gov/usao-wdwa/pr/two-foreign-nationals-sentenced-prison-trafficking-ivory-and-rhinoceros-horn-democratic</x:v>
      </x:c>
      <x:c r="U68" s="15" t="str">
        <x:v>High</x:v>
      </x:c>
      <x:c r="V68" s="15" t="str"/>
    </x:row>
    <x:row r="69">
      <x:c r="A69" s="15" t="n">
        <x:v>68</x:v>
      </x:c>
      <x:c r="B69" s="15" t="str">
        <x:v>2021-10-01</x:v>
      </x:c>
      <x:c r="C69" s="15" t="n">
        <x:v>2021</x:v>
      </x:c>
      <x:c r="D69" s="15" t="str">
        <x:v>Person</x:v>
      </x:c>
      <x:c r="E69" s="15" t="str">
        <x:v>Jorge A. Gutierrez</x:v>
      </x:c>
      <x:c r="F69" s="15" t="str"/>
      <x:c r="G69" s="15" t="str">
        <x:v>United States / Mexico</x:v>
      </x:c>
      <x:c r="H69" s="15" t="str">
        <x:v>North America</x:v>
      </x:c>
      <x:c r="I69" s="15" t="str">
        <x:v>Wildlife trafficking middleman</x:v>
      </x:c>
      <x:c r="J69" s="15" t="str">
        <x:v>Sentenced/Convicted</x:v>
      </x:c>
      <x:c r="K69" s="15" t="str">
        <x:v>Convicted in a trafficking ring moving protected animals from Mexico to the United States.</x:v>
      </x:c>
      <x:c r="L69" s="15" t="str">
        <x:v>34 months' imprisonment.</x:v>
      </x:c>
      <x:c r="M69" s="15" t="str">
        <x:v>Reptiles; amphibians; birds</x:v>
      </x:c>
      <x:c r="N69" s="15" t="str">
        <x:v>Between 2015 and 2020 served as a middleman in trafficking hundreds of live animals.</x:v>
      </x:c>
      <x:c r="O69" s="15" t="str"/>
      <x:c r="P69" s="15" t="str">
        <x:v>U.S. Department of Justice</x:v>
      </x:c>
      <x:c r="Q69" s="15" t="str">
        <x:v>English</x:v>
      </x:c>
      <x:c r="R69" s="15" t="str">
        <x:v>Official enforcement bulletin</x:v>
      </x:c>
      <x:c r="S69" s="15" t="str">
        <x:v>Environmental Crimes Bulletin - October 2021</x:v>
      </x:c>
      <x:c r="T69" s="15" t="str">
        <x:v>https://www.justice.gov/archives/enrd/blog/ecs-bulletin-october-2021</x:v>
      </x:c>
      <x:c r="U69" s="15" t="str">
        <x:v>High</x:v>
      </x:c>
      <x:c r="V69" s="15" t="str"/>
    </x:row>
    <x:row r="70">
      <x:c r="A70" s="15" t="n">
        <x:v>69</x:v>
      </x:c>
      <x:c r="B70" s="15" t="str">
        <x:v>2022-04-21</x:v>
      </x:c>
      <x:c r="C70" s="15" t="n">
        <x:v>2022</x:v>
      </x:c>
      <x:c r="D70" s="15" t="str">
        <x:v>Person</x:v>
      </x:c>
      <x:c r="E70" s="15" t="str">
        <x:v>Michael Van Nostrand</x:v>
      </x:c>
      <x:c r="F70" s="15" t="str">
        <x:v>The Lizard King</x:v>
      </x:c>
      <x:c r="G70" s="15" t="str">
        <x:v>United States</x:v>
      </x:c>
      <x:c r="H70" s="15" t="str">
        <x:v>North America</x:v>
      </x:c>
      <x:c r="I70" s="15" t="str">
        <x:v>Reptile dealer</x:v>
      </x:c>
      <x:c r="J70" s="15" t="str">
        <x:v>Sentenced/Convicted</x:v>
      </x:c>
      <x:c r="K70" s="15" t="str">
        <x:v>Convicted of conspiring to illegally harvest, sell and export protected Florida turtles.</x:v>
      </x:c>
      <x:c r="L70" s="15" t="str">
        <x:v>Seven months' imprisonment and $100,000 fine.</x:v>
      </x:c>
      <x:c r="M70" s="15" t="str">
        <x:v>Florida turtles</x:v>
      </x:c>
      <x:c r="N70" s="15" t="str">
        <x:v>Scheme harvested wild turtles for sales and exports to China and Japan.</x:v>
      </x:c>
      <x:c r="O70" s="15" t="str">
        <x:v>Strictly Reptiles, Inc.</x:v>
      </x:c>
      <x:c r="P70" s="15" t="str">
        <x:v>U.S. Department of Justice</x:v>
      </x:c>
      <x:c r="Q70" s="15" t="str">
        <x:v>English</x:v>
      </x:c>
      <x:c r="R70" s="15" t="str">
        <x:v>Official enforcement</x:v>
      </x:c>
      <x:c r="S70" s="15" t="str">
        <x:v>Broward wildlife dealer and company sentenced for scheme to harvest and sell Florida turtles</x:v>
      </x:c>
      <x:c r="T70" s="15" t="str">
        <x:v>https://www.justice.gov/usao-sdfl/pr/broward-wildlife-dealer-and-company-sentenced-scheme-harvest-and-sell-florida-turtles</x:v>
      </x:c>
      <x:c r="U70" s="15" t="str">
        <x:v>High</x:v>
      </x:c>
      <x:c r="V70" s="15" t="str"/>
    </x:row>
    <x:row r="71">
      <x:c r="A71" s="15" t="n">
        <x:v>70</x:v>
      </x:c>
      <x:c r="B71" s="15" t="str">
        <x:v>2022-04-21</x:v>
      </x:c>
      <x:c r="C71" s="15" t="n">
        <x:v>2022</x:v>
      </x:c>
      <x:c r="D71" s="15" t="str">
        <x:v>Company</x:v>
      </x:c>
      <x:c r="E71" s="15" t="str">
        <x:v>Strictly Reptiles, Inc.</x:v>
      </x:c>
      <x:c r="F71" s="15" t="str"/>
      <x:c r="G71" s="15" t="str">
        <x:v>Florida, United States</x:v>
      </x:c>
      <x:c r="H71" s="15" t="str">
        <x:v>North America</x:v>
      </x:c>
      <x:c r="I71" s="15" t="str">
        <x:v>Reptile business / corporate defendant</x:v>
      </x:c>
      <x:c r="J71" s="15" t="str">
        <x:v>Sentenced/Convicted</x:v>
      </x:c>
      <x:c r="K71" s="15" t="str">
        <x:v>Corporate defendant convicted in an illegal turtle harvesting and trafficking scheme.</x:v>
      </x:c>
      <x:c r="L71" s="15" t="str">
        <x:v>Five years' probation and $150,000 fine.</x:v>
      </x:c>
      <x:c r="M71" s="15" t="str">
        <x:v>Florida turtles</x:v>
      </x:c>
      <x:c r="N71" s="15" t="str">
        <x:v>Company participated in purchasing and selling protected turtles destined in part for foreign markets.</x:v>
      </x:c>
      <x:c r="O71" s="15" t="str">
        <x:v>Michael Van Nostrand case</x:v>
      </x:c>
      <x:c r="P71" s="15" t="str">
        <x:v>U.S. Department of Justice</x:v>
      </x:c>
      <x:c r="Q71" s="15" t="str">
        <x:v>English</x:v>
      </x:c>
      <x:c r="R71" s="15" t="str">
        <x:v>Official enforcement</x:v>
      </x:c>
      <x:c r="S71" s="15" t="str">
        <x:v>Broward wildlife dealer and company sentenced for scheme to harvest and sell Florida turtles</x:v>
      </x:c>
      <x:c r="T71" s="15" t="str">
        <x:v>https://www.justice.gov/usao-sdfl/pr/broward-wildlife-dealer-and-company-sentenced-scheme-harvest-and-sell-florida-turtles</x:v>
      </x:c>
      <x:c r="U71" s="15" t="str">
        <x:v>High</x:v>
      </x:c>
      <x:c r="V71" s="15" t="str"/>
    </x:row>
    <x:row r="72">
      <x:c r="A72" s="15" t="n">
        <x:v>71</x:v>
      </x:c>
      <x:c r="B72" s="15" t="str">
        <x:v>2022-09-01</x:v>
      </x:c>
      <x:c r="C72" s="15" t="n">
        <x:v>2022</x:v>
      </x:c>
      <x:c r="D72" s="15" t="str">
        <x:v>Person</x:v>
      </x:c>
      <x:c r="E72" s="15" t="str">
        <x:v>Jonathan Roberto Rojas-Casados</x:v>
      </x:c>
      <x:c r="F72" s="15" t="str"/>
      <x:c r="G72" s="15" t="str">
        <x:v>United States / Mexico</x:v>
      </x:c>
      <x:c r="H72" s="15" t="str">
        <x:v>North America</x:v>
      </x:c>
      <x:c r="I72" s="15" t="str">
        <x:v>Defendant in live-animal export case</x:v>
      </x:c>
      <x:c r="J72" s="15" t="str">
        <x:v>Charged/Indicted</x:v>
      </x:c>
      <x:c r="K72" s="15" t="str">
        <x:v>Charged in a case involving an attempted illegal export of more than 160 live animals from the United States to Mexico.</x:v>
      </x:c>
      <x:c r="L72" s="15" t="str">
        <x:v>Charge-stage record in the cited source.</x:v>
      </x:c>
      <x:c r="M72" s="15" t="str">
        <x:v>Reptiles and other live wildlife</x:v>
      </x:c>
      <x:c r="N72" s="15" t="str">
        <x:v>Prosecutors alleged Lacey Act and export violations involving a large live-animal shipment.</x:v>
      </x:c>
      <x:c r="O72" s="15" t="str"/>
      <x:c r="P72" s="15" t="str">
        <x:v>U.S. Department of Justice</x:v>
      </x:c>
      <x:c r="Q72" s="15" t="str">
        <x:v>English</x:v>
      </x:c>
      <x:c r="R72" s="15" t="str">
        <x:v>Official enforcement bulletin</x:v>
      </x:c>
      <x:c r="S72" s="15" t="str">
        <x:v>Environmental Crimes Bulletin - September 2022</x:v>
      </x:c>
      <x:c r="T72" s="15" t="str">
        <x:v>https://www.justice.gov/archives/enrd/blog/ecs-bulletin-september-2022</x:v>
      </x:c>
      <x:c r="U72" s="15" t="str">
        <x:v>High</x:v>
      </x:c>
      <x:c r="V72" s="15" t="str">
        <x:v>Charge-stage reporting; guilt is not established.</x:v>
      </x:c>
    </x:row>
    <x:row r="73">
      <x:c r="A73" s="15" t="n">
        <x:v>72</x:v>
      </x:c>
      <x:c r="B73" s="15" t="str">
        <x:v>2022-09-01</x:v>
      </x:c>
      <x:c r="C73" s="15" t="n">
        <x:v>2022</x:v>
      </x:c>
      <x:c r="D73" s="15" t="str">
        <x:v>Person</x:v>
      </x:c>
      <x:c r="E73" s="15" t="str">
        <x:v>Roberto Rojas-Ramirez</x:v>
      </x:c>
      <x:c r="F73" s="15" t="str"/>
      <x:c r="G73" s="15" t="str">
        <x:v>United States / Mexico</x:v>
      </x:c>
      <x:c r="H73" s="15" t="str">
        <x:v>North America</x:v>
      </x:c>
      <x:c r="I73" s="15" t="str">
        <x:v>Defendant in live-animal export case</x:v>
      </x:c>
      <x:c r="J73" s="15" t="str">
        <x:v>Charged/Indicted</x:v>
      </x:c>
      <x:c r="K73" s="15" t="str">
        <x:v>Charged in a case involving an attempted illegal export of more than 160 live animals from the United States to Mexico.</x:v>
      </x:c>
      <x:c r="L73" s="15" t="str">
        <x:v>Charge-stage record in the cited source.</x:v>
      </x:c>
      <x:c r="M73" s="15" t="str">
        <x:v>Reptiles and other live wildlife</x:v>
      </x:c>
      <x:c r="N73" s="15" t="str">
        <x:v>Prosecutors alleged Lacey Act and export violations involving a large live-animal shipment.</x:v>
      </x:c>
      <x:c r="O73" s="15" t="str"/>
      <x:c r="P73" s="15" t="str">
        <x:v>U.S. Department of Justice</x:v>
      </x:c>
      <x:c r="Q73" s="15" t="str">
        <x:v>English</x:v>
      </x:c>
      <x:c r="R73" s="15" t="str">
        <x:v>Official enforcement bulletin</x:v>
      </x:c>
      <x:c r="S73" s="15" t="str">
        <x:v>Environmental Crimes Bulletin - September 2022</x:v>
      </x:c>
      <x:c r="T73" s="15" t="str">
        <x:v>https://www.justice.gov/archives/enrd/blog/ecs-bulletin-september-2022</x:v>
      </x:c>
      <x:c r="U73" s="15" t="str">
        <x:v>High</x:v>
      </x:c>
      <x:c r="V73" s="15" t="str">
        <x:v>Charge-stage reporting; guilt is not established.</x:v>
      </x:c>
    </x:row>
    <x:row r="74">
      <x:c r="A74" s="15" t="n">
        <x:v>73</x:v>
      </x:c>
      <x:c r="B74" s="15" t="str">
        <x:v>2022-09-01</x:v>
      </x:c>
      <x:c r="C74" s="15" t="n">
        <x:v>2022</x:v>
      </x:c>
      <x:c r="D74" s="15" t="str">
        <x:v>Person</x:v>
      </x:c>
      <x:c r="E74" s="15" t="str">
        <x:v>Roberto Angel Roman-Alvarez</x:v>
      </x:c>
      <x:c r="F74" s="15" t="str"/>
      <x:c r="G74" s="15" t="str">
        <x:v>United States / Mexico</x:v>
      </x:c>
      <x:c r="H74" s="15" t="str">
        <x:v>North America</x:v>
      </x:c>
      <x:c r="I74" s="15" t="str">
        <x:v>Defendant in live-animal export case</x:v>
      </x:c>
      <x:c r="J74" s="15" t="str">
        <x:v>Charged/Indicted</x:v>
      </x:c>
      <x:c r="K74" s="15" t="str">
        <x:v>Charged in a case involving an attempted illegal export of more than 160 live animals from the United States to Mexico.</x:v>
      </x:c>
      <x:c r="L74" s="15" t="str">
        <x:v>Charge-stage record in the cited source.</x:v>
      </x:c>
      <x:c r="M74" s="15" t="str">
        <x:v>Reptiles and other live wildlife</x:v>
      </x:c>
      <x:c r="N74" s="15" t="str">
        <x:v>Prosecutors alleged Lacey Act and export violations involving a large live-animal shipment.</x:v>
      </x:c>
      <x:c r="O74" s="15" t="str"/>
      <x:c r="P74" s="15" t="str">
        <x:v>U.S. Department of Justice</x:v>
      </x:c>
      <x:c r="Q74" s="15" t="str">
        <x:v>English</x:v>
      </x:c>
      <x:c r="R74" s="15" t="str">
        <x:v>Official enforcement bulletin</x:v>
      </x:c>
      <x:c r="S74" s="15" t="str">
        <x:v>Environmental Crimes Bulletin - September 2022</x:v>
      </x:c>
      <x:c r="T74" s="15" t="str">
        <x:v>https://www.justice.gov/archives/enrd/blog/ecs-bulletin-september-2022</x:v>
      </x:c>
      <x:c r="U74" s="15" t="str">
        <x:v>High</x:v>
      </x:c>
      <x:c r="V74" s="15" t="str">
        <x:v>Charge-stage reporting; guilt is not established.</x:v>
      </x:c>
    </x:row>
    <x:row r="75">
      <x:c r="A75" s="15" t="n">
        <x:v>74</x:v>
      </x:c>
      <x:c r="B75" s="15" t="str">
        <x:v>2026-05-29</x:v>
      </x:c>
      <x:c r="C75" s="15" t="n">
        <x:v>2026</x:v>
      </x:c>
      <x:c r="D75" s="15" t="str">
        <x:v>Person</x:v>
      </x:c>
      <x:c r="E75" s="15" t="str">
        <x:v>Jose Manuel Perez</x:v>
      </x:c>
      <x:c r="F75" s="15" t="str">
        <x:v>Julio Rodriguez</x:v>
      </x:c>
      <x:c r="G75" s="15" t="str">
        <x:v>United States / Mexico / Hong Kong</x:v>
      </x:c>
      <x:c r="H75" s="15" t="str">
        <x:v>North America / East Asia</x:v>
      </x:c>
      <x:c r="I75" s="15" t="str">
        <x:v>International reptile trafficker</x:v>
      </x:c>
      <x:c r="J75" s="15" t="str">
        <x:v>Sentenced/Convicted</x:v>
      </x:c>
      <x:c r="K75" s="15" t="str">
        <x:v>Convicted of trafficking at least 1,700 animals into the United States.</x:v>
      </x:c>
      <x:c r="L75" s="15" t="str">
        <x:v>65 months' imprisonment.</x:v>
      </x:c>
      <x:c r="M75" s="15" t="str">
        <x:v>Reptiles</x:v>
      </x:c>
      <x:c r="N75" s="15" t="str">
        <x:v>From 2016-2022, sourced reptiles from Mexico, Hong Kong and elsewhere and sold them through social media; value exceeded $739,000.</x:v>
      </x:c>
      <x:c r="O75" s="15" t="str"/>
      <x:c r="P75" s="15" t="str">
        <x:v>U.S. Department of Justice</x:v>
      </x:c>
      <x:c r="Q75" s="15" t="str">
        <x:v>English</x:v>
      </x:c>
      <x:c r="R75" s="15" t="str">
        <x:v>Official enforcement</x:v>
      </x:c>
      <x:c r="S75" s="15" t="str">
        <x:v>California man sentenced to 65 months for trafficking at least 1,700 animals into the United States</x:v>
      </x:c>
      <x:c r="T75" s="15" t="str">
        <x:v>https://www.justice.gov/opa/pr/california-man-sentenced-65-months-prison-trafficking-least-1700-animals-united-states</x:v>
      </x:c>
      <x:c r="U75" s="15" t="str">
        <x:v>High</x:v>
      </x:c>
      <x:c r="V75" s="15" t="str"/>
    </x:row>
    <x:row r="76">
      <x:c r="A76" s="15" t="n">
        <x:v>75</x:v>
      </x:c>
      <x:c r="B76" s="15" t="str">
        <x:v>2023-06-01</x:v>
      </x:c>
      <x:c r="C76" s="15" t="n">
        <x:v>2023</x:v>
      </x:c>
      <x:c r="D76" s="15" t="str">
        <x:v>Person</x:v>
      </x:c>
      <x:c r="E76" s="15" t="str">
        <x:v>Stephany Perez</x:v>
      </x:c>
      <x:c r="F76" s="15" t="str"/>
      <x:c r="G76" s="15" t="str">
        <x:v>United States</x:v>
      </x:c>
      <x:c r="H76" s="15" t="str">
        <x:v>North America</x:v>
      </x:c>
      <x:c r="I76" s="15" t="str">
        <x:v>Co-conspirator in reptile trafficking scheme</x:v>
      </x:c>
      <x:c r="J76" s="15" t="str">
        <x:v>Sentenced/Convicted</x:v>
      </x:c>
      <x:c r="K76" s="15" t="str">
        <x:v>Pleaded guilty to a misdemeanor Lacey Act offense in the broader Perez reptile trafficking scheme.</x:v>
      </x:c>
      <x:c r="L76" s="15" t="str">
        <x:v>$1,000 fine and probation reported.</x:v>
      </x:c>
      <x:c r="M76" s="15" t="str">
        <x:v>Reptiles</x:v>
      </x:c>
      <x:c r="N76" s="15" t="str">
        <x:v>Sibling and co-conspirator in a scheme moving large numbers of reptiles into the United States.</x:v>
      </x:c>
      <x:c r="O76" s="15" t="str">
        <x:v>Jose Manuel Perez scheme</x:v>
      </x:c>
      <x:c r="P76" s="15" t="str">
        <x:v>U.S. Department of Justice</x:v>
      </x:c>
      <x:c r="Q76" s="15" t="str">
        <x:v>English</x:v>
      </x:c>
      <x:c r="R76" s="15" t="str">
        <x:v>Official enforcement bulletin</x:v>
      </x:c>
      <x:c r="S76" s="15" t="str">
        <x:v>Environmental Crimes Bulletin - June 2023</x:v>
      </x:c>
      <x:c r="T76" s="15" t="str">
        <x:v>https://www.justice.gov/archives/enrd/blog/ecs-bulletin-june-2023</x:v>
      </x:c>
      <x:c r="U76" s="15" t="str">
        <x:v>High</x:v>
      </x:c>
      <x:c r="V76" s="15" t="str"/>
    </x:row>
    <x:row r="77">
      <x:c r="A77" s="15" t="n">
        <x:v>76</x:v>
      </x:c>
      <x:c r="B77" s="15" t="str">
        <x:v>2023-05-01</x:v>
      </x:c>
      <x:c r="C77" s="15" t="n">
        <x:v>2023</x:v>
      </x:c>
      <x:c r="D77" s="15" t="str">
        <x:v>Person</x:v>
      </x:c>
      <x:c r="E77" s="15" t="str">
        <x:v>Stanlee Fazi</x:v>
      </x:c>
      <x:c r="F77" s="15" t="str"/>
      <x:c r="G77" s="15" t="str">
        <x:v>United States</x:v>
      </x:c>
      <x:c r="H77" s="15" t="str">
        <x:v>North America</x:v>
      </x:c>
      <x:c r="I77" s="15" t="str">
        <x:v>Turtle trafficker</x:v>
      </x:c>
      <x:c r="J77" s="15" t="str">
        <x:v>Pleaded Guilty</x:v>
      </x:c>
      <x:c r="K77" s="15" t="str">
        <x:v>Pleaded guilty to turtle trafficking offenses.</x:v>
      </x:c>
      <x:c r="L77" s="15" t="str">
        <x:v>Sentencing status should be checked in later court records if needed.</x:v>
      </x:c>
      <x:c r="M77" s="15" t="str">
        <x:v>Eastern box turtles</x:v>
      </x:c>
      <x:c r="N77" s="15" t="str">
        <x:v>Collected protected turtles in Virginia and sold them online; downstream buyers smuggled turtles toward Hong Kong and China.</x:v>
      </x:c>
      <x:c r="O77" s="15" t="str"/>
      <x:c r="P77" s="15" t="str">
        <x:v>U.S. Department of Justice</x:v>
      </x:c>
      <x:c r="Q77" s="15" t="str">
        <x:v>English</x:v>
      </x:c>
      <x:c r="R77" s="15" t="str">
        <x:v>Official enforcement bulletin</x:v>
      </x:c>
      <x:c r="S77" s="15" t="str">
        <x:v>Environmental Crimes Bulletin - May 2023</x:v>
      </x:c>
      <x:c r="T77" s="15" t="str">
        <x:v>https://www.justice.gov/archives/enrd/blog/ecs-bulletin-may-2023</x:v>
      </x:c>
      <x:c r="U77" s="15" t="str">
        <x:v>High</x:v>
      </x:c>
      <x:c r="V77" s="15" t="str"/>
    </x:row>
    <x:row r="78">
      <x:c r="A78" s="15" t="n">
        <x:v>77</x:v>
      </x:c>
      <x:c r="B78" s="15" t="str">
        <x:v>2023-06-01</x:v>
      </x:c>
      <x:c r="C78" s="15" t="n">
        <x:v>2023</x:v>
      </x:c>
      <x:c r="D78" s="15" t="str">
        <x:v>Person</x:v>
      </x:c>
      <x:c r="E78" s="15" t="str">
        <x:v>Jorge Morfin</x:v>
      </x:c>
      <x:c r="F78" s="15" t="str"/>
      <x:c r="G78" s="15" t="str">
        <x:v>United States / Mexico</x:v>
      </x:c>
      <x:c r="H78" s="15" t="str">
        <x:v>North America</x:v>
      </x:c>
      <x:c r="I78" s="15" t="str">
        <x:v>Wildlife smuggler</x:v>
      </x:c>
      <x:c r="J78" s="15" t="str">
        <x:v>Pleaded Guilty</x:v>
      </x:c>
      <x:c r="K78" s="15" t="str">
        <x:v>Pleaded guilty to smuggling protected wildlife.</x:v>
      </x:c>
      <x:c r="L78" s="15" t="str">
        <x:v>Guilty plea recorded; see later court record for final sentence.</x:v>
      </x:c>
      <x:c r="M78" s="15" t="str">
        <x:v>Dried seahorses</x:v>
      </x:c>
      <x:c r="N78" s="15" t="str">
        <x:v>Smuggled more than 600 dried seahorses from Mexico into the United States.</x:v>
      </x:c>
      <x:c r="O78" s="15" t="str"/>
      <x:c r="P78" s="15" t="str">
        <x:v>U.S. Department of Justice</x:v>
      </x:c>
      <x:c r="Q78" s="15" t="str">
        <x:v>English</x:v>
      </x:c>
      <x:c r="R78" s="15" t="str">
        <x:v>Official enforcement bulletin</x:v>
      </x:c>
      <x:c r="S78" s="15" t="str">
        <x:v>Environmental Crimes Bulletin - June 2023</x:v>
      </x:c>
      <x:c r="T78" s="15" t="str">
        <x:v>https://www.justice.gov/archives/enrd/blog/ecs-bulletin-june-2023</x:v>
      </x:c>
      <x:c r="U78" s="15" t="str">
        <x:v>High</x:v>
      </x:c>
      <x:c r="V78" s="15" t="str"/>
    </x:row>
    <x:row r="79">
      <x:c r="A79" s="15" t="n">
        <x:v>78</x:v>
      </x:c>
      <x:c r="B79" s="15" t="str">
        <x:v>2023-06-01</x:v>
      </x:c>
      <x:c r="C79" s="15" t="n">
        <x:v>2023</x:v>
      </x:c>
      <x:c r="D79" s="15" t="str">
        <x:v>Person</x:v>
      </x:c>
      <x:c r="E79" s="15" t="str">
        <x:v>Michael Amato</x:v>
      </x:c>
      <x:c r="F79" s="15" t="str"/>
      <x:c r="G79" s="15" t="str">
        <x:v>United States / Europe</x:v>
      </x:c>
      <x:c r="H79" s="15" t="str">
        <x:v>North America / Europe</x:v>
      </x:c>
      <x:c r="I79" s="15" t="str">
        <x:v>Wildlife smuggler</x:v>
      </x:c>
      <x:c r="J79" s="15" t="str">
        <x:v>Pleaded Guilty</x:v>
      </x:c>
      <x:c r="K79" s="15" t="str">
        <x:v>Pleaded guilty to wildlife smuggling.</x:v>
      </x:c>
      <x:c r="L79" s="15" t="str">
        <x:v>Guilty plea recorded; see later court record for final sentence.</x:v>
      </x:c>
      <x:c r="M79" s="15" t="str">
        <x:v>Taxidermy birds</x:v>
      </x:c>
      <x:c r="N79" s="15" t="str">
        <x:v>Smuggled dozens of taxidermy birds from Malta, England, Germany and other locations without required declarations or permits.</x:v>
      </x:c>
      <x:c r="O79" s="15" t="str"/>
      <x:c r="P79" s="15" t="str">
        <x:v>U.S. Department of Justice</x:v>
      </x:c>
      <x:c r="Q79" s="15" t="str">
        <x:v>English</x:v>
      </x:c>
      <x:c r="R79" s="15" t="str">
        <x:v>Official enforcement bulletin</x:v>
      </x:c>
      <x:c r="S79" s="15" t="str">
        <x:v>Environmental Crimes Bulletin - June 2023</x:v>
      </x:c>
      <x:c r="T79" s="15" t="str">
        <x:v>https://www.justice.gov/archives/enrd/blog/ecs-bulletin-june-2023</x:v>
      </x:c>
      <x:c r="U79" s="15" t="str">
        <x:v>High</x:v>
      </x:c>
      <x:c r="V79" s="15" t="str"/>
    </x:row>
    <x:row r="80">
      <x:c r="A80" s="15" t="n">
        <x:v>79</x:v>
      </x:c>
      <x:c r="B80" s="15" t="str">
        <x:v>2024-05-28</x:v>
      </x:c>
      <x:c r="C80" s="15" t="n">
        <x:v>2024</x:v>
      </x:c>
      <x:c r="D80" s="15" t="str">
        <x:v>Person</x:v>
      </x:c>
      <x:c r="E80" s="15" t="str">
        <x:v>John Michael Kreatsoulas</x:v>
      </x:c>
      <x:c r="F80" s="15" t="str"/>
      <x:c r="G80" s="15" t="str">
        <x:v>United States / Germany / Hong Kong</x:v>
      </x:c>
      <x:c r="H80" s="15" t="str">
        <x:v>North America / Europe / East Asia</x:v>
      </x:c>
      <x:c r="I80" s="15" t="str">
        <x:v>Reptile business owner</x:v>
      </x:c>
      <x:c r="J80" s="15" t="str">
        <x:v>Sentenced/Convicted</x:v>
      </x:c>
      <x:c r="K80" s="15" t="str">
        <x:v>Convicted of conspiring to illegally export thousands of wild-caught turtles while falsely representing them as captive-bred.</x:v>
      </x:c>
      <x:c r="L80" s="15" t="str">
        <x:v>One year and one day in prison plus fine.</x:v>
      </x:c>
      <x:c r="M80" s="15" t="str">
        <x:v>Florida freshwater turtles</x:v>
      </x:c>
      <x:c r="N80" s="15" t="str">
        <x:v>Trafficking scheme exported turtles to Germany and Hong Kong and used false captive-bred documentation.</x:v>
      </x:c>
      <x:c r="O80" s="15" t="str">
        <x:v>Omni Reptiles Inc.</x:v>
      </x:c>
      <x:c r="P80" s="15" t="str">
        <x:v>U.S. Department of Justice</x:v>
      </x:c>
      <x:c r="Q80" s="15" t="str">
        <x:v>English</x:v>
      </x:c>
      <x:c r="R80" s="15" t="str">
        <x:v>Official enforcement</x:v>
      </x:c>
      <x:c r="S80" s="15" t="str">
        <x:v>Lee County man sentenced for conspiring to smuggle turtles to Germany and Hong Kong</x:v>
      </x:c>
      <x:c r="T80" s="15" t="str">
        <x:v>https://www.justice.gov/usao-sdfl/pr/lee-county-florida-man-sentenced-prison-conspiring-smuggle-turtles-germany-and-hong</x:v>
      </x:c>
      <x:c r="U80" s="15" t="str">
        <x:v>High</x:v>
      </x:c>
      <x:c r="V80" s="15" t="str"/>
    </x:row>
    <x:row r="81">
      <x:c r="A81" s="15" t="n">
        <x:v>80</x:v>
      </x:c>
      <x:c r="B81" s="15" t="str">
        <x:v>2024-05-28</x:v>
      </x:c>
      <x:c r="C81" s="15" t="n">
        <x:v>2024</x:v>
      </x:c>
      <x:c r="D81" s="15" t="str">
        <x:v>Business</x:v>
      </x:c>
      <x:c r="E81" s="15" t="str">
        <x:v>Omni Reptiles Inc.</x:v>
      </x:c>
      <x:c r="F81" s="15" t="str"/>
      <x:c r="G81" s="15" t="str">
        <x:v>Florida, United States</x:v>
      </x:c>
      <x:c r="H81" s="15" t="str">
        <x:v>North America</x:v>
      </x:c>
      <x:c r="I81" s="15" t="str">
        <x:v>Reptile business operated by convicted trafficker</x:v>
      </x:c>
      <x:c r="J81" s="15" t="str">
        <x:v>Connected Entity</x:v>
      </x:c>
      <x:c r="K81" s="15" t="str">
        <x:v>Named as the business through which John Michael Kreatsoulas operated.</x:v>
      </x:c>
      <x:c r="L81" s="15" t="str">
        <x:v>No separate corporate conviction stated in cited source.</x:v>
      </x:c>
      <x:c r="M81" s="15" t="str">
        <x:v>Florida freshwater turtles</x:v>
      </x:c>
      <x:c r="N81" s="15" t="str">
        <x:v>Business infrastructure connected to exports falsely described as captive-bred.</x:v>
      </x:c>
      <x:c r="O81" s="15" t="str">
        <x:v>John Michael Kreatsoulas case</x:v>
      </x:c>
      <x:c r="P81" s="15" t="str">
        <x:v>U.S. Department of Justice</x:v>
      </x:c>
      <x:c r="Q81" s="15" t="str">
        <x:v>English</x:v>
      </x:c>
      <x:c r="R81" s="15" t="str">
        <x:v>Official enforcement</x:v>
      </x:c>
      <x:c r="S81" s="15" t="str">
        <x:v>Lee County man sentenced for conspiring to smuggle turtles to Germany and Hong Kong</x:v>
      </x:c>
      <x:c r="T81" s="15" t="str">
        <x:v>https://www.justice.gov/usao-sdfl/pr/lee-county-florida-man-sentenced-prison-conspiring-smuggle-turtles-germany-and-hong</x:v>
      </x:c>
      <x:c r="U81" s="15" t="str">
        <x:v>High</x:v>
      </x:c>
      <x:c r="V81" s="15" t="str">
        <x:v>Connected business only; source does not state a separate conviction of the company.</x:v>
      </x:c>
    </x:row>
    <x:row r="82">
      <x:c r="A82" s="15" t="n">
        <x:v>81</x:v>
      </x:c>
      <x:c r="B82" s="15" t="str">
        <x:v>2024-04-22</x:v>
      </x:c>
      <x:c r="C82" s="15" t="n">
        <x:v>2024</x:v>
      </x:c>
      <x:c r="D82" s="15" t="str">
        <x:v>Person</x:v>
      </x:c>
      <x:c r="E82" s="15" t="str">
        <x:v>Nancy Teresa Gonzalez de Barberi</x:v>
      </x:c>
      <x:c r="F82" s="15" t="str"/>
      <x:c r="G82" s="15" t="str">
        <x:v>Colombia / United States</x:v>
      </x:c>
      <x:c r="H82" s="15" t="str">
        <x:v>South America / North America</x:v>
      </x:c>
      <x:c r="I82" s="15" t="str">
        <x:v>Luxury handbag company founder</x:v>
      </x:c>
      <x:c r="J82" s="15" t="str">
        <x:v>Sentenced/Convicted</x:v>
      </x:c>
      <x:c r="K82" s="15" t="str">
        <x:v>Convicted of smuggling designer handbags made from protected wildlife skins from Colombia to the United States.</x:v>
      </x:c>
      <x:c r="L82" s="15" t="str">
        <x:v>18 months' imprisonment.</x:v>
      </x:c>
      <x:c r="M82" s="15" t="str">
        <x:v>Caiman; python</x:v>
      </x:c>
      <x:c r="N82" s="15" t="str">
        <x:v>Smuggled high-value bags made from CITES-protected skins between 2016 and 2019.</x:v>
      </x:c>
      <x:c r="O82" s="15" t="str">
        <x:v>Gzuniga Ltd.</x:v>
      </x:c>
      <x:c r="P82" s="15" t="str">
        <x:v>U.S. Department of Justice</x:v>
      </x:c>
      <x:c r="Q82" s="15" t="str">
        <x:v>English</x:v>
      </x:c>
      <x:c r="R82" s="15" t="str">
        <x:v>Official enforcement</x:v>
      </x:c>
      <x:c r="S82" s="15" t="str">
        <x:v>Luxury handbag company founder and co-conspirator sentenced for smuggling handbags made from protected wildlife</x:v>
      </x:c>
      <x:c r="T82" s="15" t="str">
        <x:v>https://www.justice.gov/usao-sdfl/pr/luxury-handbag-company-founder-and-co-conspirator-sentenced-smuggling-handbags-made</x:v>
      </x:c>
      <x:c r="U82" s="15" t="str">
        <x:v>High</x:v>
      </x:c>
      <x:c r="V82" s="15" t="str"/>
    </x:row>
    <x:row r="83">
      <x:c r="A83" s="15" t="n">
        <x:v>82</x:v>
      </x:c>
      <x:c r="B83" s="15" t="str">
        <x:v>2024-04-22</x:v>
      </x:c>
      <x:c r="C83" s="15" t="n">
        <x:v>2024</x:v>
      </x:c>
      <x:c r="D83" s="15" t="str">
        <x:v>Person</x:v>
      </x:c>
      <x:c r="E83" s="15" t="str">
        <x:v>Mauricio Giraldo</x:v>
      </x:c>
      <x:c r="F83" s="15" t="str"/>
      <x:c r="G83" s="15" t="str">
        <x:v>Colombia / United States</x:v>
      </x:c>
      <x:c r="H83" s="15" t="str">
        <x:v>South America / North America</x:v>
      </x:c>
      <x:c r="I83" s="15" t="str">
        <x:v>Co-conspirator in wildlife-skin smuggling case</x:v>
      </x:c>
      <x:c r="J83" s="15" t="str">
        <x:v>Sentenced/Convicted</x:v>
      </x:c>
      <x:c r="K83" s="15" t="str">
        <x:v>Convicted in the Gzuniga protected-wildlife handbag smuggling case.</x:v>
      </x:c>
      <x:c r="L83" s="15" t="str">
        <x:v>Time served, approximately 22 months, reported.</x:v>
      </x:c>
      <x:c r="M83" s="15" t="str">
        <x:v>Caiman; python</x:v>
      </x:c>
      <x:c r="N83" s="15" t="str">
        <x:v>Participated in smuggling protected-wildlife products into the United States.</x:v>
      </x:c>
      <x:c r="O83" s="15" t="str">
        <x:v>Gzuniga Ltd.</x:v>
      </x:c>
      <x:c r="P83" s="15" t="str">
        <x:v>U.S. Department of Justice</x:v>
      </x:c>
      <x:c r="Q83" s="15" t="str">
        <x:v>English</x:v>
      </x:c>
      <x:c r="R83" s="15" t="str">
        <x:v>Official enforcement</x:v>
      </x:c>
      <x:c r="S83" s="15" t="str">
        <x:v>Luxury handbag company founder and co-conspirator sentenced for smuggling handbags made from protected wildlife</x:v>
      </x:c>
      <x:c r="T83" s="15" t="str">
        <x:v>https://www.justice.gov/usao-sdfl/pr/luxury-handbag-company-founder-and-co-conspirator-sentenced-smuggling-handbags-made</x:v>
      </x:c>
      <x:c r="U83" s="15" t="str">
        <x:v>High</x:v>
      </x:c>
      <x:c r="V83" s="15" t="str"/>
    </x:row>
    <x:row r="84">
      <x:c r="A84" s="15" t="n">
        <x:v>83</x:v>
      </x:c>
      <x:c r="B84" s="15" t="str">
        <x:v>2024-04-22</x:v>
      </x:c>
      <x:c r="C84" s="15" t="n">
        <x:v>2024</x:v>
      </x:c>
      <x:c r="D84" s="15" t="str">
        <x:v>Person</x:v>
      </x:c>
      <x:c r="E84" s="15" t="str">
        <x:v>John Camilo Aguilar Jaramillo</x:v>
      </x:c>
      <x:c r="F84" s="15" t="str"/>
      <x:c r="G84" s="15" t="str">
        <x:v>Colombia / United States</x:v>
      </x:c>
      <x:c r="H84" s="15" t="str">
        <x:v>South America / North America</x:v>
      </x:c>
      <x:c r="I84" s="15" t="str">
        <x:v>Co-defendant in wildlife-skin smuggling case</x:v>
      </x:c>
      <x:c r="J84" s="15" t="str">
        <x:v>Pleaded Guilty</x:v>
      </x:c>
      <x:c r="K84" s="15" t="str">
        <x:v>Pleaded guilty in the Gzuniga protected-wildlife handbag smuggling case.</x:v>
      </x:c>
      <x:c r="L84" s="15" t="str">
        <x:v>Sentencing was pending in the cited April 2024 source.</x:v>
      </x:c>
      <x:c r="M84" s="15" t="str">
        <x:v>Caiman; python</x:v>
      </x:c>
      <x:c r="N84" s="15" t="str">
        <x:v>Participated in smuggling designer wildlife-skin products.</x:v>
      </x:c>
      <x:c r="O84" s="15" t="str">
        <x:v>Gzuniga Ltd.</x:v>
      </x:c>
      <x:c r="P84" s="15" t="str">
        <x:v>U.S. Department of Justice</x:v>
      </x:c>
      <x:c r="Q84" s="15" t="str">
        <x:v>English</x:v>
      </x:c>
      <x:c r="R84" s="15" t="str">
        <x:v>Official enforcement</x:v>
      </x:c>
      <x:c r="S84" s="15" t="str">
        <x:v>Luxury handbag company founder and co-conspirator sentenced for smuggling handbags made from protected wildlife</x:v>
      </x:c>
      <x:c r="T84" s="15" t="str">
        <x:v>https://www.justice.gov/usao-sdfl/pr/luxury-handbag-company-founder-and-co-conspirator-sentenced-smuggling-handbags-made</x:v>
      </x:c>
      <x:c r="U84" s="15" t="str">
        <x:v>High</x:v>
      </x:c>
      <x:c r="V84" s="15" t="str"/>
    </x:row>
    <x:row r="85">
      <x:c r="A85" s="15" t="n">
        <x:v>84</x:v>
      </x:c>
      <x:c r="B85" s="15" t="str">
        <x:v>2024-04-22</x:v>
      </x:c>
      <x:c r="C85" s="15" t="n">
        <x:v>2024</x:v>
      </x:c>
      <x:c r="D85" s="15" t="str">
        <x:v>Company</x:v>
      </x:c>
      <x:c r="E85" s="15" t="str">
        <x:v>Gzuniga Ltd.</x:v>
      </x:c>
      <x:c r="F85" s="15" t="str"/>
      <x:c r="G85" s="15" t="str">
        <x:v>Colombia</x:v>
      </x:c>
      <x:c r="H85" s="15" t="str">
        <x:v>South America</x:v>
      </x:c>
      <x:c r="I85" s="15" t="str">
        <x:v>Luxury handbag company / corporate defendant</x:v>
      </x:c>
      <x:c r="J85" s="15" t="str">
        <x:v>Sentenced/Convicted</x:v>
      </x:c>
      <x:c r="K85" s="15" t="str">
        <x:v>Corporate defendant in the protected-wildlife handbag smuggling case.</x:v>
      </x:c>
      <x:c r="L85" s="15" t="str">
        <x:v>Probation, forfeiture and three-year wildlife-trade ban reported.</x:v>
      </x:c>
      <x:c r="M85" s="15" t="str">
        <x:v>Caiman; python</x:v>
      </x:c>
      <x:c r="N85" s="15" t="str">
        <x:v>Company sold and moved designer products made from protected wildlife skins.</x:v>
      </x:c>
      <x:c r="O85" s="15" t="str"/>
      <x:c r="P85" s="15" t="str">
        <x:v>U.S. Department of Justice</x:v>
      </x:c>
      <x:c r="Q85" s="15" t="str">
        <x:v>English</x:v>
      </x:c>
      <x:c r="R85" s="15" t="str">
        <x:v>Official enforcement</x:v>
      </x:c>
      <x:c r="S85" s="15" t="str">
        <x:v>Luxury handbag company founder and co-conspirator sentenced for smuggling handbags made from protected wildlife</x:v>
      </x:c>
      <x:c r="T85" s="15" t="str">
        <x:v>https://www.justice.gov/usao-sdfl/pr/luxury-handbag-company-founder-and-co-conspirator-sentenced-smuggling-handbags-made</x:v>
      </x:c>
      <x:c r="U85" s="15" t="str">
        <x:v>High</x:v>
      </x:c>
      <x:c r="V85" s="15" t="str"/>
    </x:row>
    <x:row r="86">
      <x:c r="A86" s="15" t="n">
        <x:v>85</x:v>
      </x:c>
      <x:c r="B86" s="15" t="str">
        <x:v>2025-07-08</x:v>
      </x:c>
      <x:c r="C86" s="15" t="n">
        <x:v>2025</x:v>
      </x:c>
      <x:c r="D86" s="15" t="str">
        <x:v>Person</x:v>
      </x:c>
      <x:c r="E86" s="15" t="str">
        <x:v>Bhagavan Antle</x:v>
      </x:c>
      <x:c r="F86" s="15" t="str">
        <x:v>Doc Antle; Kevin Antle</x:v>
      </x:c>
      <x:c r="G86" s="15" t="str">
        <x:v>United States</x:v>
      </x:c>
      <x:c r="H86" s="15" t="str">
        <x:v>North America</x:v>
      </x:c>
      <x:c r="I86" s="15" t="str">
        <x:v>Exotic-animal facility owner</x:v>
      </x:c>
      <x:c r="J86" s="15" t="str">
        <x:v>Sentenced/Convicted</x:v>
      </x:c>
      <x:c r="K86" s="15" t="str">
        <x:v>Convicted of federal wildlife trafficking and money-laundering offenses.</x:v>
      </x:c>
      <x:c r="L86" s="15" t="str">
        <x:v>12 months' imprisonment reported.</x:v>
      </x:c>
      <x:c r="M86" s="15" t="str">
        <x:v>Cheetahs; lions; tigers; chimpanzee; other protected wildlife</x:v>
      </x:c>
      <x:c r="N86" s="15" t="str">
        <x:v>Scheme involved purchase/sale of protected animals, cash transactions, false paperwork and related laundering conduct.</x:v>
      </x:c>
      <x:c r="O86" s="15" t="str">
        <x:v>Myrtle Beach Safari / T.I.G.E.R.S.</x:v>
      </x:c>
      <x:c r="P86" s="15" t="str">
        <x:v>U.S. Department of Justice</x:v>
      </x:c>
      <x:c r="Q86" s="15" t="str">
        <x:v>English</x:v>
      </x:c>
      <x:c r="R86" s="15" t="str">
        <x:v>Official enforcement</x:v>
      </x:c>
      <x:c r="S86" s="15" t="str">
        <x:v>Doc Antle, owner of Myrtle Beach Safari, sentenced for federal wildlife trafficking and money laundering charges</x:v>
      </x:c>
      <x:c r="T86" s="15" t="str">
        <x:v>https://www.justice.gov/opa/pr/doc-antle-owner-myrtle-beach-safari-sentenced-federal-wildlife-trafficking-and-money</x:v>
      </x:c>
      <x:c r="U86" s="15" t="str">
        <x:v>High</x:v>
      </x:c>
      <x:c r="V86" s="15" t="str"/>
    </x:row>
    <x:row r="87">
      <x:c r="A87" s="15" t="n">
        <x:v>86</x:v>
      </x:c>
      <x:c r="B87" s="15" t="str">
        <x:v>2025-07-08</x:v>
      </x:c>
      <x:c r="C87" s="15" t="n">
        <x:v>2025</x:v>
      </x:c>
      <x:c r="D87" s="15" t="str">
        <x:v>Person</x:v>
      </x:c>
      <x:c r="E87" s="15" t="str">
        <x:v>Jason Clay</x:v>
      </x:c>
      <x:c r="F87" s="15" t="str"/>
      <x:c r="G87" s="15" t="str">
        <x:v>United States</x:v>
      </x:c>
      <x:c r="H87" s="15" t="str">
        <x:v>North America</x:v>
      </x:c>
      <x:c r="I87" s="15" t="str">
        <x:v>Exotic-animal facility owner / co-defendant</x:v>
      </x:c>
      <x:c r="J87" s="15" t="str">
        <x:v>Sentenced/Convicted</x:v>
      </x:c>
      <x:c r="K87" s="15" t="str">
        <x:v>Convicted in a related wildlife trafficking case involving sale of a juvenile chimpanzee.</x:v>
      </x:c>
      <x:c r="L87" s="15" t="str">
        <x:v>Four months' imprisonment plus four months' home confinement and fine reported.</x:v>
      </x:c>
      <x:c r="M87" s="15" t="str">
        <x:v>Chimpanzee; gibbon</x:v>
      </x:c>
      <x:c r="N87" s="15" t="str">
        <x:v>Sold a juvenile chimpanzee to Antle for cash and a juvenile gibbon, according to DOJ.</x:v>
      </x:c>
      <x:c r="O87" s="15" t="str">
        <x:v>Franklin Drive Thru Safari / Antle case</x:v>
      </x:c>
      <x:c r="P87" s="15" t="str">
        <x:v>U.S. Department of Justice</x:v>
      </x:c>
      <x:c r="Q87" s="15" t="str">
        <x:v>English</x:v>
      </x:c>
      <x:c r="R87" s="15" t="str">
        <x:v>Official enforcement</x:v>
      </x:c>
      <x:c r="S87" s="15" t="str">
        <x:v>Doc Antle, owner of Myrtle Beach Safari, sentenced for federal wildlife trafficking and money laundering charges</x:v>
      </x:c>
      <x:c r="T87" s="15" t="str">
        <x:v>https://www.justice.gov/opa/pr/doc-antle-owner-myrtle-beach-safari-sentenced-federal-wildlife-trafficking-and-money</x:v>
      </x:c>
      <x:c r="U87" s="15" t="str">
        <x:v>High</x:v>
      </x:c>
      <x:c r="V87" s="15" t="str"/>
    </x:row>
    <x:row r="88">
      <x:c r="A88" s="15" t="n">
        <x:v>87</x:v>
      </x:c>
      <x:c r="B88" s="15" t="str">
        <x:v>2022-06-30</x:v>
      </x:c>
      <x:c r="C88" s="15" t="n">
        <x:v>2022</x:v>
      </x:c>
      <x:c r="D88" s="15" t="str">
        <x:v>Person</x:v>
      </x:c>
      <x:c r="E88" s="15" t="str">
        <x:v>Meredith Bybee</x:v>
      </x:c>
      <x:c r="F88" s="15" t="str">
        <x:v>Moksha Bybee</x:v>
      </x:c>
      <x:c r="G88" s="15" t="str">
        <x:v>United States</x:v>
      </x:c>
      <x:c r="H88" s="15" t="str">
        <x:v>North America</x:v>
      </x:c>
      <x:c r="I88" s="15" t="str">
        <x:v>Exotic-animal facility associate</x:v>
      </x:c>
      <x:c r="J88" s="15" t="str">
        <x:v>Charged/Indicted</x:v>
      </x:c>
      <x:c r="K88" s="15" t="str">
        <x:v>Indicted in a federal wildlife trafficking case involving protected animals.</x:v>
      </x:c>
      <x:c r="L88" s="15" t="str">
        <x:v>Status in this row reflects the indictment source.</x:v>
      </x:c>
      <x:c r="M88" s="15" t="str">
        <x:v>Lemurs; cheetahs; chimpanzee; other protected wildlife</x:v>
      </x:c>
      <x:c r="N88" s="15" t="str">
        <x:v>Prosecutors alleged participation in unlawful wildlife transactions and false-record activity.</x:v>
      </x:c>
      <x:c r="O88" s="15" t="str">
        <x:v>Myrtle Beach Safari / Antle case</x:v>
      </x:c>
      <x:c r="P88" s="15" t="str">
        <x:v>U.S. Department of Justice</x:v>
      </x:c>
      <x:c r="Q88" s="15" t="str">
        <x:v>English</x:v>
      </x:c>
      <x:c r="R88" s="15" t="str">
        <x:v>Official enforcement</x:v>
      </x:c>
      <x:c r="S88" s="15" t="str">
        <x:v>Doc Antle, owner of Myrtle Beach Safari, and others indicted for federal wildlife trafficking and money laundering</x:v>
      </x:c>
      <x:c r="T88" s="15" t="str">
        <x:v>https://www.justice.gov/archives/opa/pr/doc-antle-owner-myrtle-beach-safari-and-others-indicted-federal-wildlife-trafficking-and</x:v>
      </x:c>
      <x:c r="U88" s="15" t="str">
        <x:v>High</x:v>
      </x:c>
      <x:c r="V88" s="15" t="str">
        <x:v>Indictment-stage allegation; this source alone does not establish guilt.</x:v>
      </x:c>
    </x:row>
    <x:row r="89">
      <x:c r="A89" s="15" t="n">
        <x:v>88</x:v>
      </x:c>
      <x:c r="B89" s="15" t="str">
        <x:v>2022-06-30</x:v>
      </x:c>
      <x:c r="C89" s="15" t="n">
        <x:v>2022</x:v>
      </x:c>
      <x:c r="D89" s="15" t="str">
        <x:v>Person</x:v>
      </x:c>
      <x:c r="E89" s="15" t="str">
        <x:v>Charles Sammut</x:v>
      </x:c>
      <x:c r="F89" s="15" t="str"/>
      <x:c r="G89" s="15" t="str">
        <x:v>United States</x:v>
      </x:c>
      <x:c r="H89" s="15" t="str">
        <x:v>North America</x:v>
      </x:c>
      <x:c r="I89" s="15" t="str">
        <x:v>Exotic-animal facility owner</x:v>
      </x:c>
      <x:c r="J89" s="15" t="str">
        <x:v>Charged/Indicted</x:v>
      </x:c>
      <x:c r="K89" s="15" t="str">
        <x:v>Indicted in a federal wildlife trafficking case involving protected animals.</x:v>
      </x:c>
      <x:c r="L89" s="15" t="str">
        <x:v>Status in this row reflects the indictment source.</x:v>
      </x:c>
      <x:c r="M89" s="15" t="str">
        <x:v>Lemurs; cheetahs; chimpanzee; other protected wildlife</x:v>
      </x:c>
      <x:c r="N89" s="15" t="str">
        <x:v>Prosecutors alleged participation in unlawful wildlife transactions.</x:v>
      </x:c>
      <x:c r="O89" s="15" t="str">
        <x:v>Vision Quest Ranch / Antle case</x:v>
      </x:c>
      <x:c r="P89" s="15" t="str">
        <x:v>U.S. Department of Justice</x:v>
      </x:c>
      <x:c r="Q89" s="15" t="str">
        <x:v>English</x:v>
      </x:c>
      <x:c r="R89" s="15" t="str">
        <x:v>Official enforcement</x:v>
      </x:c>
      <x:c r="S89" s="15" t="str">
        <x:v>Doc Antle, owner of Myrtle Beach Safari, and others indicted for federal wildlife trafficking and money laundering</x:v>
      </x:c>
      <x:c r="T89" s="15" t="str">
        <x:v>https://www.justice.gov/archives/opa/pr/doc-antle-owner-myrtle-beach-safari-and-others-indicted-federal-wildlife-trafficking-and</x:v>
      </x:c>
      <x:c r="U89" s="15" t="str">
        <x:v>High</x:v>
      </x:c>
      <x:c r="V89" s="15" t="str">
        <x:v>Indictment-stage allegation; this source alone does not establish guilt.</x:v>
      </x:c>
    </x:row>
    <x:row r="90">
      <x:c r="A90" s="15" t="n">
        <x:v>89</x:v>
      </x:c>
      <x:c r="B90" s="15" t="str">
        <x:v>2022-06-30</x:v>
      </x:c>
      <x:c r="C90" s="15" t="n">
        <x:v>2022</x:v>
      </x:c>
      <x:c r="D90" s="15" t="str">
        <x:v>Person</x:v>
      </x:c>
      <x:c r="E90" s="15" t="str">
        <x:v>Andrew Jon Sawyer</x:v>
      </x:c>
      <x:c r="F90" s="15" t="str">
        <x:v>Omar Sawyer</x:v>
      </x:c>
      <x:c r="G90" s="15" t="str">
        <x:v>United States</x:v>
      </x:c>
      <x:c r="H90" s="15" t="str">
        <x:v>North America</x:v>
      </x:c>
      <x:c r="I90" s="15" t="str">
        <x:v>Co-defendant / alleged financial facilitator</x:v>
      </x:c>
      <x:c r="J90" s="15" t="str">
        <x:v>Charged/Indicted</x:v>
      </x:c>
      <x:c r="K90" s="15" t="str">
        <x:v>Indicted in the Antle case on money-laundering-related allegations.</x:v>
      </x:c>
      <x:c r="L90" s="15" t="str">
        <x:v>Status in this row reflects the indictment source.</x:v>
      </x:c>
      <x:c r="M90" s="15" t="str">
        <x:v>Wildlife-trafficking proceeds / related conduct</x:v>
      </x:c>
      <x:c r="N90" s="15" t="str">
        <x:v>Named as a co-defendant in the wider exotic-animal trafficking and laundering investigation.</x:v>
      </x:c>
      <x:c r="O90" s="15" t="str">
        <x:v>Myrtle Beach Safari / Antle case</x:v>
      </x:c>
      <x:c r="P90" s="15" t="str">
        <x:v>U.S. Department of Justice</x:v>
      </x:c>
      <x:c r="Q90" s="15" t="str">
        <x:v>English</x:v>
      </x:c>
      <x:c r="R90" s="15" t="str">
        <x:v>Official enforcement</x:v>
      </x:c>
      <x:c r="S90" s="15" t="str">
        <x:v>Doc Antle, owner of Myrtle Beach Safari, and others indicted for federal wildlife trafficking and money laundering</x:v>
      </x:c>
      <x:c r="T90" s="15" t="str">
        <x:v>https://www.justice.gov/archives/opa/pr/doc-antle-owner-myrtle-beach-safari-and-others-indicted-federal-wildlife-trafficking-and</x:v>
      </x:c>
      <x:c r="U90" s="15" t="str">
        <x:v>High</x:v>
      </x:c>
      <x:c r="V90" s="15" t="str">
        <x:v>This row records a connected money-laundering allegation, not a wildlife-trafficking conviction.</x:v>
      </x:c>
    </x:row>
    <x:row r="91">
      <x:c r="A91" s="15" t="n">
        <x:v>90</x:v>
      </x:c>
      <x:c r="B91" s="15" t="str">
        <x:v>2025-07-08</x:v>
      </x:c>
      <x:c r="C91" s="15" t="n">
        <x:v>2025</x:v>
      </x:c>
      <x:c r="D91" s="15" t="str">
        <x:v>Business/Facility</x:v>
      </x:c>
      <x:c r="E91" s="15" t="str">
        <x:v>Myrtle Beach Safari / T.I.G.E.R.S.</x:v>
      </x:c>
      <x:c r="F91" s="15" t="str"/>
      <x:c r="G91" s="15" t="str">
        <x:v>South Carolina, United States</x:v>
      </x:c>
      <x:c r="H91" s="15" t="str">
        <x:v>North America</x:v>
      </x:c>
      <x:c r="I91" s="15" t="str">
        <x:v>Exotic-animal facility operated by Bhagavan Antle</x:v>
      </x:c>
      <x:c r="J91" s="15" t="str">
        <x:v>Connected Entity</x:v>
      </x:c>
      <x:c r="K91" s="15" t="str">
        <x:v>Facility named throughout the convicted owner's wildlife-trafficking case.</x:v>
      </x:c>
      <x:c r="L91" s="15" t="str">
        <x:v>No separate conviction of the facility stated in the cited sentencing release.</x:v>
      </x:c>
      <x:c r="M91" s="15" t="str">
        <x:v>Big cats; primates; other protected wildlife</x:v>
      </x:c>
      <x:c r="N91" s="15" t="str">
        <x:v>Business/facility infrastructure associated with Antle's convicted wildlife-trafficking conduct.</x:v>
      </x:c>
      <x:c r="O91" s="15" t="str">
        <x:v>Antle case</x:v>
      </x:c>
      <x:c r="P91" s="15" t="str">
        <x:v>U.S. Department of Justice</x:v>
      </x:c>
      <x:c r="Q91" s="15" t="str">
        <x:v>English</x:v>
      </x:c>
      <x:c r="R91" s="15" t="str">
        <x:v>Official enforcement</x:v>
      </x:c>
      <x:c r="S91" s="15" t="str">
        <x:v>Doc Antle, owner of Myrtle Beach Safari, sentenced for federal wildlife trafficking and money laundering charges</x:v>
      </x:c>
      <x:c r="T91" s="15" t="str">
        <x:v>https://www.justice.gov/opa/pr/doc-antle-owner-myrtle-beach-safari-sentenced-federal-wildlife-trafficking-and-money</x:v>
      </x:c>
      <x:c r="U91" s="15" t="str">
        <x:v>High</x:v>
      </x:c>
      <x:c r="V91" s="15" t="str">
        <x:v>Connected facility. Do not infer separate corporate liability unless separately established.</x:v>
      </x:c>
    </x:row>
    <x:row r="92">
      <x:c r="A92" s="15" t="n">
        <x:v>91</x:v>
      </x:c>
      <x:c r="B92" s="15" t="str">
        <x:v>2023-11-06</x:v>
      </x:c>
      <x:c r="C92" s="15" t="n">
        <x:v>2023</x:v>
      </x:c>
      <x:c r="D92" s="15" t="str">
        <x:v>Nonprofit</x:v>
      </x:c>
      <x:c r="E92" s="15" t="str">
        <x:v>Rare Species Fund</x:v>
      </x:c>
      <x:c r="F92" s="15" t="str"/>
      <x:c r="G92" s="15" t="str">
        <x:v>United States</x:v>
      </x:c>
      <x:c r="H92" s="15" t="str">
        <x:v>North America</x:v>
      </x:c>
      <x:c r="I92" s="15" t="str">
        <x:v>Nonprofit named in convicted individual's scheme</x:v>
      </x:c>
      <x:c r="J92" s="15" t="str">
        <x:v>Connected Entity</x:v>
      </x:c>
      <x:c r="K92" s="15" t="str">
        <x:v>DOJ stated that payments for endangered species were at times requested as 'donations' to the nonprofit.</x:v>
      </x:c>
      <x:c r="L92" s="15" t="str">
        <x:v>No separate criminal conviction of the nonprofit stated in the cited source.</x:v>
      </x:c>
      <x:c r="M92" s="15" t="str">
        <x:v>Protected wildlife transactions</x:v>
      </x:c>
      <x:c r="N92" s="15" t="str">
        <x:v>Named as a payment destination used in aspects of Antle's wildlife-trafficking scheme.</x:v>
      </x:c>
      <x:c r="O92" s="15" t="str">
        <x:v>Antle case</x:v>
      </x:c>
      <x:c r="P92" s="15" t="str">
        <x:v>U.S. Department of Justice</x:v>
      </x:c>
      <x:c r="Q92" s="15" t="str">
        <x:v>English</x:v>
      </x:c>
      <x:c r="R92" s="15" t="str">
        <x:v>Official enforcement</x:v>
      </x:c>
      <x:c r="S92" s="15" t="str">
        <x:v>Doc Antle, owner of Myrtle Beach Safari, pleads guilty to federal wildlife trafficking and money laundering</x:v>
      </x:c>
      <x:c r="T92" s="15" t="str">
        <x:v>https://www.justice.gov/archives/opa/pr/doc-antle-owner-myrtle-beach-safari-pleads-guilty-federal-wildlife-trafficking-and-money</x:v>
      </x:c>
      <x:c r="U92" s="15" t="str">
        <x:v>High</x:v>
      </x:c>
      <x:c r="V92" s="15" t="str">
        <x:v>Connected entity only. The cited source does not state the nonprofit itself was charged or convicted.</x:v>
      </x:c>
    </x:row>
    <x:row r="93">
      <x:c r="A93" s="15" t="n">
        <x:v>92</x:v>
      </x:c>
      <x:c r="B93" s="15" t="str">
        <x:v>2025-07-08</x:v>
      </x:c>
      <x:c r="C93" s="15" t="n">
        <x:v>2025</x:v>
      </x:c>
      <x:c r="D93" s="15" t="str">
        <x:v>Business/Facility</x:v>
      </x:c>
      <x:c r="E93" s="15" t="str">
        <x:v>Franklin Drive Thru Safari</x:v>
      </x:c>
      <x:c r="F93" s="15" t="str"/>
      <x:c r="G93" s="15" t="str">
        <x:v>Texas, United States</x:v>
      </x:c>
      <x:c r="H93" s="15" t="str">
        <x:v>North America</x:v>
      </x:c>
      <x:c r="I93" s="15" t="str">
        <x:v>Exotic-animal facility owned by Jason Clay</x:v>
      </x:c>
      <x:c r="J93" s="15" t="str">
        <x:v>Connected Entity</x:v>
      </x:c>
      <x:c r="K93" s="15" t="str">
        <x:v>Named as the business associated with convicted co-defendant Jason Clay.</x:v>
      </x:c>
      <x:c r="L93" s="15" t="str">
        <x:v>No separate corporate conviction stated in the cited source.</x:v>
      </x:c>
      <x:c r="M93" s="15" t="str">
        <x:v>Chimpanzee; gibbon; exotic wildlife</x:v>
      </x:c>
      <x:c r="N93" s="15" t="str">
        <x:v>Facility connected to Clay's wildlife transactions described by DOJ.</x:v>
      </x:c>
      <x:c r="O93" s="15" t="str">
        <x:v>Antle case</x:v>
      </x:c>
      <x:c r="P93" s="15" t="str">
        <x:v>U.S. Department of Justice</x:v>
      </x:c>
      <x:c r="Q93" s="15" t="str">
        <x:v>English</x:v>
      </x:c>
      <x:c r="R93" s="15" t="str">
        <x:v>Official enforcement</x:v>
      </x:c>
      <x:c r="S93" s="15" t="str">
        <x:v>Doc Antle, owner of Myrtle Beach Safari, sentenced for federal wildlife trafficking and money laundering charges</x:v>
      </x:c>
      <x:c r="T93" s="15" t="str">
        <x:v>https://www.justice.gov/opa/pr/doc-antle-owner-myrtle-beach-safari-sentenced-federal-wildlife-trafficking-and-money</x:v>
      </x:c>
      <x:c r="U93" s="15" t="str">
        <x:v>High</x:v>
      </x:c>
      <x:c r="V93" s="15" t="str">
        <x:v>Connected business only; no separate corporate conviction stated.</x:v>
      </x:c>
    </x:row>
    <x:row r="94">
      <x:c r="A94" s="15" t="n">
        <x:v>93</x:v>
      </x:c>
      <x:c r="B94" s="15" t="str">
        <x:v>2022-06-30</x:v>
      </x:c>
      <x:c r="C94" s="15" t="n">
        <x:v>2022</x:v>
      </x:c>
      <x:c r="D94" s="15" t="str">
        <x:v>Business/Facility</x:v>
      </x:c>
      <x:c r="E94" s="15" t="str">
        <x:v>Vision Quest Ranch</x:v>
      </x:c>
      <x:c r="F94" s="15" t="str"/>
      <x:c r="G94" s="15" t="str">
        <x:v>California, United States</x:v>
      </x:c>
      <x:c r="H94" s="15" t="str">
        <x:v>North America</x:v>
      </x:c>
      <x:c r="I94" s="15" t="str">
        <x:v>Exotic-animal facility owned by Charles Sammut</x:v>
      </x:c>
      <x:c r="J94" s="15" t="str">
        <x:v>Connected Entity</x:v>
      </x:c>
      <x:c r="K94" s="15" t="str">
        <x:v>Named as the facility associated with an indicted defendant in the Antle wildlife-trafficking case.</x:v>
      </x:c>
      <x:c r="L94" s="15" t="str">
        <x:v>No separate corporate conviction stated in the cited source.</x:v>
      </x:c>
      <x:c r="M94" s="15" t="str">
        <x:v>Protected wildlife</x:v>
      </x:c>
      <x:c r="N94" s="15" t="str">
        <x:v>Facility connected to alleged wildlife transactions described in the indictment.</x:v>
      </x:c>
      <x:c r="O94" s="15" t="str">
        <x:v>Antle case</x:v>
      </x:c>
      <x:c r="P94" s="15" t="str">
        <x:v>U.S. Department of Justice</x:v>
      </x:c>
      <x:c r="Q94" s="15" t="str">
        <x:v>English</x:v>
      </x:c>
      <x:c r="R94" s="15" t="str">
        <x:v>Official enforcement</x:v>
      </x:c>
      <x:c r="S94" s="15" t="str">
        <x:v>Doc Antle, owner of Myrtle Beach Safari, and others indicted for federal wildlife trafficking and money laundering</x:v>
      </x:c>
      <x:c r="T94" s="15" t="str">
        <x:v>https://www.justice.gov/archives/opa/pr/doc-antle-owner-myrtle-beach-safari-and-others-indicted-federal-wildlife-trafficking-and</x:v>
      </x:c>
      <x:c r="U94" s="15" t="str">
        <x:v>High</x:v>
      </x:c>
      <x:c r="V94" s="15" t="str">
        <x:v>Connected facility; allegation-stage source.</x:v>
      </x:c>
    </x:row>
    <x:row r="95">
      <x:c r="A95" s="15" t="n">
        <x:v>94</x:v>
      </x:c>
      <x:c r="B95" s="15" t="str">
        <x:v>2020-01-08</x:v>
      </x:c>
      <x:c r="C95" s="15" t="n">
        <x:v>2020</x:v>
      </x:c>
      <x:c r="D95" s="15" t="str">
        <x:v>Person</x:v>
      </x:c>
      <x:c r="E95" s="15" t="str">
        <x:v>Akbar Akram</x:v>
      </x:c>
      <x:c r="F95" s="15" t="str"/>
      <x:c r="G95" s="15" t="str">
        <x:v>United States / Philippines</x:v>
      </x:c>
      <x:c r="H95" s="15" t="str">
        <x:v>North America / Southeast Asia</x:v>
      </x:c>
      <x:c r="I95" s="15" t="str">
        <x:v>Live reptile trafficker</x:v>
      </x:c>
      <x:c r="J95" s="15" t="str">
        <x:v>Pleaded Guilty</x:v>
      </x:c>
      <x:c r="K95" s="15" t="str">
        <x:v>Pleaded guilty to trafficking CITES-protected water monitor lizards from the Philippines.</x:v>
      </x:c>
      <x:c r="L95" s="15" t="str">
        <x:v>Guilty plea recorded; later sentencing should be checked if needed.</x:v>
      </x:c>
      <x:c r="M95" s="15" t="str">
        <x:v>Water monitor lizards</x:v>
      </x:c>
      <x:c r="N95" s="15" t="str">
        <x:v>Illegally imported more than 20 live lizards concealed in socks inside electronic equipment and falsely labeled shipments.</x:v>
      </x:c>
      <x:c r="O95" s="15" t="str"/>
      <x:c r="P95" s="15" t="str">
        <x:v>U.S. Department of Justice</x:v>
      </x:c>
      <x:c r="Q95" s="15" t="str">
        <x:v>English</x:v>
      </x:c>
      <x:c r="R95" s="15" t="str">
        <x:v>Official enforcement</x:v>
      </x:c>
      <x:c r="S95" s="15" t="str">
        <x:v>Florida man pleads guilty to trafficking in CITES-protected water monitor lizards</x:v>
      </x:c>
      <x:c r="T95" s="15" t="str">
        <x:v>https://www.justice.gov/usao-mdfl/pr/florida-man-pleads-guilty-trafficking-cites-protected-water-monitor-lizards</x:v>
      </x:c>
      <x:c r="U95" s="15" t="str">
        <x:v>High</x:v>
      </x:c>
      <x:c r="V95" s="15" t="str"/>
    </x:row>
    <x:row r="96">
      <x:c r="A96" s="15" t="n">
        <x:v>95</x:v>
      </x:c>
      <x:c r="B96" s="15" t="str">
        <x:v>2025-04-10</x:v>
      </x:c>
      <x:c r="C96" s="15" t="n">
        <x:v>2025</x:v>
      </x:c>
      <x:c r="D96" s="15" t="str">
        <x:v>Person</x:v>
      </x:c>
      <x:c r="E96" s="15" t="str">
        <x:v>Lauren H. DeLoach</x:v>
      </x:c>
      <x:c r="F96" s="15" t="str"/>
      <x:c r="G96" s="15" t="str">
        <x:v>United States</x:v>
      </x:c>
      <x:c r="H96" s="15" t="str">
        <x:v>North America</x:v>
      </x:c>
      <x:c r="I96" s="15" t="str">
        <x:v>Marine wildlife parts trader</x:v>
      </x:c>
      <x:c r="J96" s="15" t="str">
        <x:v>Pleaded Guilty</x:v>
      </x:c>
      <x:c r="K96" s="15" t="str">
        <x:v>Pleaded guilty to Lacey Act and Marine Mammal Protection Act offenses.</x:v>
      </x:c>
      <x:c r="L96" s="15" t="str">
        <x:v>Guilty plea reported; sentencing to follow.</x:v>
      </x:c>
      <x:c r="M96" s="15" t="str">
        <x:v>Sperm whale teeth; bones</x:v>
      </x:c>
      <x:c r="N96" s="15" t="str">
        <x:v>Imported and sold protected sperm-whale parts.</x:v>
      </x:c>
      <x:c r="O96" s="15" t="str"/>
      <x:c r="P96" s="15" t="str">
        <x:v>U.S. Department of Justice</x:v>
      </x:c>
      <x:c r="Q96" s="15" t="str">
        <x:v>English</x:v>
      </x:c>
      <x:c r="R96" s="15" t="str">
        <x:v>Official enforcement</x:v>
      </x:c>
      <x:c r="S96" s="15" t="str">
        <x:v>Environmental Crimes Bulletin - April 2025</x:v>
      </x:c>
      <x:c r="T96" s="15" t="str">
        <x:v>https://www.justice.gov/enrd/blog/environmental-crimes-bulletin-april-2025</x:v>
      </x:c>
      <x:c r="U96" s="15" t="str">
        <x:v>High</x:v>
      </x:c>
      <x:c r="V96" s="15" t="str"/>
    </x:row>
    <x:row r="97">
      <x:c r="A97" s="15" t="n">
        <x:v>96</x:v>
      </x:c>
      <x:c r="B97" s="15" t="str">
        <x:v>2025-10-23</x:v>
      </x:c>
      <x:c r="C97" s="15" t="n">
        <x:v>2025</x:v>
      </x:c>
      <x:c r="D97" s="15" t="str">
        <x:v>Person</x:v>
      </x:c>
      <x:c r="E97" s="15" t="str">
        <x:v>Russell Milis</x:v>
      </x:c>
      <x:c r="F97" s="15" t="str"/>
      <x:c r="G97" s="15" t="str">
        <x:v>United States / China / Hong Kong</x:v>
      </x:c>
      <x:c r="H97" s="15" t="str">
        <x:v>North America / East Asia</x:v>
      </x:c>
      <x:c r="I97" s="15" t="str">
        <x:v>Turtle trafficker</x:v>
      </x:c>
      <x:c r="J97" s="15" t="str">
        <x:v>Sentenced/Convicted</x:v>
      </x:c>
      <x:c r="K97" s="15" t="str">
        <x:v>Pleaded guilty to false labeling associated with trafficking protected turtles.</x:v>
      </x:c>
      <x:c r="L97" s="15" t="str">
        <x:v>$18,900 fine and probation reported.</x:v>
      </x:c>
      <x:c r="M97" s="15" t="str">
        <x:v>Protected turtles</x:v>
      </x:c>
      <x:c r="N97" s="15" t="str">
        <x:v>Shipped nearly 400 protected turtles during 2019-2020 to China and Hong Kong.</x:v>
      </x:c>
      <x:c r="O97" s="15" t="str"/>
      <x:c r="P97" s="15" t="str">
        <x:v>U.S. Department of Justice</x:v>
      </x:c>
      <x:c r="Q97" s="15" t="str">
        <x:v>English</x:v>
      </x:c>
      <x:c r="R97" s="15" t="str">
        <x:v>Official enforcement</x:v>
      </x:c>
      <x:c r="S97" s="15" t="str">
        <x:v>Environmental Crimes Bulletin - October 2025</x:v>
      </x:c>
      <x:c r="T97" s="15" t="str">
        <x:v>https://www.justice.gov/enrd/blog/environmental-crimes-bulletin-october-2025</x:v>
      </x:c>
      <x:c r="U97" s="15" t="str">
        <x:v>High</x:v>
      </x:c>
      <x:c r="V97" s="15" t="str"/>
    </x:row>
    <x:row r="98">
      <x:c r="A98" s="15" t="n">
        <x:v>97</x:v>
      </x:c>
      <x:c r="B98" s="15" t="str">
        <x:v>2025-10-17</x:v>
      </x:c>
      <x:c r="C98" s="15" t="n">
        <x:v>2025</x:v>
      </x:c>
      <x:c r="D98" s="15" t="str">
        <x:v>Person</x:v>
      </x:c>
      <x:c r="E98" s="15" t="str">
        <x:v>Paul Jacob Elliott Sommers</x:v>
      </x:c>
      <x:c r="F98" s="15" t="str"/>
      <x:c r="G98" s="15" t="str">
        <x:v>United States / Mexico</x:v>
      </x:c>
      <x:c r="H98" s="15" t="str">
        <x:v>North America</x:v>
      </x:c>
      <x:c r="I98" s="15" t="str">
        <x:v>Wildlife smuggler</x:v>
      </x:c>
      <x:c r="J98" s="15" t="str">
        <x:v>Sentenced/Convicted</x:v>
      </x:c>
      <x:c r="K98" s="15" t="str">
        <x:v>Convicted of wildlife smuggling from Mexico into the United States.</x:v>
      </x:c>
      <x:c r="L98" s="15" t="str">
        <x:v>Six months' imprisonment reported.</x:v>
      </x:c>
      <x:c r="M98" s="15" t="str">
        <x:v>Wildlife / exotic animals</x:v>
      </x:c>
      <x:c r="N98" s="15" t="str">
        <x:v>Over several years purchased wildlife and arranged capture, border crossing and onward sales.</x:v>
      </x:c>
      <x:c r="O98" s="15" t="str"/>
      <x:c r="P98" s="15" t="str">
        <x:v>U.S. Department of Justice</x:v>
      </x:c>
      <x:c r="Q98" s="15" t="str">
        <x:v>English</x:v>
      </x:c>
      <x:c r="R98" s="15" t="str">
        <x:v>Official enforcement</x:v>
      </x:c>
      <x:c r="S98" s="15" t="str">
        <x:v>Environmental Crimes Bulletin - October 2025</x:v>
      </x:c>
      <x:c r="T98" s="15" t="str">
        <x:v>https://www.justice.gov/enrd/blog/environmental-crimes-bulletin-october-2025</x:v>
      </x:c>
      <x:c r="U98" s="15" t="str">
        <x:v>High</x:v>
      </x:c>
      <x:c r="V98" s="15" t="str"/>
    </x:row>
    <x:row r="99">
      <x:c r="A99" s="15" t="n">
        <x:v>98</x:v>
      </x:c>
      <x:c r="B99" s="15" t="str">
        <x:v>2025-02-10</x:v>
      </x:c>
      <x:c r="C99" s="15" t="n">
        <x:v>2025</x:v>
      </x:c>
      <x:c r="D99" s="15" t="str">
        <x:v>Person</x:v>
      </x:c>
      <x:c r="E99" s="15" t="str">
        <x:v>Jason Lee Wagner</x:v>
      </x:c>
      <x:c r="F99" s="15" t="str"/>
      <x:c r="G99" s="15" t="str">
        <x:v>United States / Mexico</x:v>
      </x:c>
      <x:c r="H99" s="15" t="str">
        <x:v>North America</x:v>
      </x:c>
      <x:c r="I99" s="15" t="str">
        <x:v>Reptile trafficker</x:v>
      </x:c>
      <x:c r="J99" s="15" t="str">
        <x:v>Sentenced/Convicted</x:v>
      </x:c>
      <x:c r="K99" s="15" t="str">
        <x:v>Convicted by a jury of conspiracy and multiple wildlife-smuggling violations.</x:v>
      </x:c>
      <x:c r="L99" s="15" t="str">
        <x:v>Sentence reflected in later court records; conviction established in cited source.</x:v>
      </x:c>
      <x:c r="M99" s="15" t="str">
        <x:v>Endangered reptiles</x:v>
      </x:c>
      <x:c r="N99" s="15" t="str">
        <x:v>Bought and sold endangered reptiles from Mexico using social media and money-transfer services.</x:v>
      </x:c>
      <x:c r="O99" s="15" t="str"/>
      <x:c r="P99" s="15" t="str">
        <x:v>U.S. Department of Justice</x:v>
      </x:c>
      <x:c r="Q99" s="15" t="str">
        <x:v>English</x:v>
      </x:c>
      <x:c r="R99" s="15" t="str">
        <x:v>Official enforcement</x:v>
      </x:c>
      <x:c r="S99" s="15" t="str">
        <x:v>Environmental Crimes Bulletin - February 2025</x:v>
      </x:c>
      <x:c r="T99" s="15" t="str">
        <x:v>https://www.justice.gov/enrd/blog/environmental-crimes-bulletin-february-2025</x:v>
      </x:c>
      <x:c r="U99" s="15" t="str">
        <x:v>High</x:v>
      </x:c>
      <x:c r="V99" s="15" t="str"/>
    </x:row>
    <x:row r="100">
      <x:c r="A100" s="15" t="n">
        <x:v>99</x:v>
      </x:c>
      <x:c r="B100" s="15" t="str">
        <x:v>2025-02-10</x:v>
      </x:c>
      <x:c r="C100" s="15" t="n">
        <x:v>2025</x:v>
      </x:c>
      <x:c r="D100" s="15" t="str">
        <x:v>Person</x:v>
      </x:c>
      <x:c r="E100" s="15" t="str">
        <x:v>Andrew Laughlin</x:v>
      </x:c>
      <x:c r="F100" s="15" t="str"/>
      <x:c r="G100" s="15" t="str">
        <x:v>United States / Mexico</x:v>
      </x:c>
      <x:c r="H100" s="15" t="str">
        <x:v>North America</x:v>
      </x:c>
      <x:c r="I100" s="15" t="str">
        <x:v>Reptile smuggler</x:v>
      </x:c>
      <x:c r="J100" s="15" t="str">
        <x:v>Sentenced/Convicted</x:v>
      </x:c>
      <x:c r="K100" s="15" t="str">
        <x:v>Pleaded guilty and was sentenced for smuggling reptiles from Mexico.</x:v>
      </x:c>
      <x:c r="L100" s="15" t="str">
        <x:v>Fine, probation and restitution reported.</x:v>
      </x:c>
      <x:c r="M100" s="15" t="str">
        <x:v>Reptiles</x:v>
      </x:c>
      <x:c r="N100" s="15" t="str">
        <x:v>Participated in illegal importation of reptiles into the United States.</x:v>
      </x:c>
      <x:c r="O100" s="15" t="str"/>
      <x:c r="P100" s="15" t="str">
        <x:v>U.S. Department of Justice</x:v>
      </x:c>
      <x:c r="Q100" s="15" t="str">
        <x:v>English</x:v>
      </x:c>
      <x:c r="R100" s="15" t="str">
        <x:v>Official enforcement</x:v>
      </x:c>
      <x:c r="S100" s="15" t="str">
        <x:v>Environmental Crimes Bulletin - February 2025</x:v>
      </x:c>
      <x:c r="T100" s="15" t="str">
        <x:v>https://www.justice.gov/enrd/blog/environmental-crimes-bulletin-february-2025</x:v>
      </x:c>
      <x:c r="U100" s="15" t="str">
        <x:v>High</x:v>
      </x:c>
      <x:c r="V100" s="15" t="str"/>
    </x:row>
    <x:row r="101">
      <x:c r="A101" s="15" t="n">
        <x:v>100</x:v>
      </x:c>
      <x:c r="B101" s="15" t="str">
        <x:v>2025-09-02</x:v>
      </x:c>
      <x:c r="C101" s="15" t="n">
        <x:v>2025</x:v>
      </x:c>
      <x:c r="D101" s="15" t="str">
        <x:v>Person</x:v>
      </x:c>
      <x:c r="E101" s="15" t="str">
        <x:v>Naim Lajud Libien</x:v>
      </x:c>
      <x:c r="F101" s="15" t="str"/>
      <x:c r="G101" s="15" t="str">
        <x:v>United States / Mexico</x:v>
      </x:c>
      <x:c r="H101" s="15" t="str">
        <x:v>North America</x:v>
      </x:c>
      <x:c r="I101" s="15" t="str">
        <x:v>Bird smuggler</x:v>
      </x:c>
      <x:c r="J101" s="15" t="str">
        <x:v>Pleaded Guilty</x:v>
      </x:c>
      <x:c r="K101" s="15" t="str">
        <x:v>Pleaded guilty to smuggling protected parrots from Mexico.</x:v>
      </x:c>
      <x:c r="L101" s="15" t="str">
        <x:v>Guilty plea reported; sentencing to follow.</x:v>
      </x:c>
      <x:c r="M101" s="15" t="str">
        <x:v>Orange-fronted parakeets</x:v>
      </x:c>
      <x:c r="N101" s="15" t="str">
        <x:v>Smuggled 12 protected parakeets from Mexico into the United States.</x:v>
      </x:c>
      <x:c r="O101" s="15" t="str"/>
      <x:c r="P101" s="15" t="str">
        <x:v>U.S. Department of Justice</x:v>
      </x:c>
      <x:c r="Q101" s="15" t="str">
        <x:v>English</x:v>
      </x:c>
      <x:c r="R101" s="15" t="str">
        <x:v>Official enforcement</x:v>
      </x:c>
      <x:c r="S101" s="15" t="str">
        <x:v>Environmental Crimes Bulletin - September 2025</x:v>
      </x:c>
      <x:c r="T101" s="15" t="str">
        <x:v>https://www.justice.gov/enrd/blog/environmental-crimes-bulletin-september-2025</x:v>
      </x:c>
      <x:c r="U101" s="15" t="str">
        <x:v>High</x:v>
      </x:c>
      <x:c r="V101" s="15" t="str"/>
    </x:row>
    <x:row r="102">
      <x:c r="A102" s="15" t="n">
        <x:v>101</x:v>
      </x:c>
      <x:c r="B102" s="15" t="str">
        <x:v>2025-10-07</x:v>
      </x:c>
      <x:c r="C102" s="15" t="n">
        <x:v>2025</x:v>
      </x:c>
      <x:c r="D102" s="15" t="str">
        <x:v>Person</x:v>
      </x:c>
      <x:c r="E102" s="15" t="str">
        <x:v>Janely Aylin Vela</x:v>
      </x:c>
      <x:c r="F102" s="15" t="str"/>
      <x:c r="G102" s="15" t="str">
        <x:v>United States / Mexico</x:v>
      </x:c>
      <x:c r="H102" s="15" t="str">
        <x:v>North America</x:v>
      </x:c>
      <x:c r="I102" s="15" t="str">
        <x:v>Primate smuggler</x:v>
      </x:c>
      <x:c r="J102" s="15" t="str">
        <x:v>Pleaded Guilty</x:v>
      </x:c>
      <x:c r="K102" s="15" t="str">
        <x:v>Pleaded guilty to attempting to import protected primates.</x:v>
      </x:c>
      <x:c r="L102" s="15" t="str">
        <x:v>Guilty plea reported.</x:v>
      </x:c>
      <x:c r="M102" s="15" t="str">
        <x:v>Capuchin monkeys</x:v>
      </x:c>
      <x:c r="N102" s="15" t="str">
        <x:v>Attempted to import two capuchin monkeys into the United States.</x:v>
      </x:c>
      <x:c r="O102" s="15" t="str"/>
      <x:c r="P102" s="15" t="str">
        <x:v>U.S. Department of Justice</x:v>
      </x:c>
      <x:c r="Q102" s="15" t="str">
        <x:v>English</x:v>
      </x:c>
      <x:c r="R102" s="15" t="str">
        <x:v>Official enforcement</x:v>
      </x:c>
      <x:c r="S102" s="15" t="str">
        <x:v>Environmental Crimes Bulletin - October 2025</x:v>
      </x:c>
      <x:c r="T102" s="15" t="str">
        <x:v>https://www.justice.gov/enrd/blog/environmental-crimes-bulletin-october-2025</x:v>
      </x:c>
      <x:c r="U102" s="15" t="str">
        <x:v>High</x:v>
      </x:c>
      <x:c r="V102" s="15" t="str"/>
    </x:row>
    <x:row r="103">
      <x:c r="A103" s="15" t="n">
        <x:v>102</x:v>
      </x:c>
      <x:c r="B103" s="15" t="str">
        <x:v>2026-03-23</x:v>
      </x:c>
      <x:c r="C103" s="15" t="n">
        <x:v>2026</x:v>
      </x:c>
      <x:c r="D103" s="15" t="str">
        <x:v>Person</x:v>
      </x:c>
      <x:c r="E103" s="15" t="str">
        <x:v>Ricardo Alonzo</x:v>
      </x:c>
      <x:c r="F103" s="15" t="str"/>
      <x:c r="G103" s="15" t="str">
        <x:v>United States / Mexico</x:v>
      </x:c>
      <x:c r="H103" s="15" t="str">
        <x:v>North America</x:v>
      </x:c>
      <x:c r="I103" s="15" t="str">
        <x:v>Bird smuggler</x:v>
      </x:c>
      <x:c r="J103" s="15" t="str">
        <x:v>Sentenced/Convicted</x:v>
      </x:c>
      <x:c r="K103" s="15" t="str">
        <x:v>Convicted after pleading guilty to transporting exotic birds from Mexico.</x:v>
      </x:c>
      <x:c r="L103" s="15" t="str">
        <x:v>90 days' imprisonment plus restitution reported.</x:v>
      </x:c>
      <x:c r="M103" s="15" t="str">
        <x:v>Exotic birds</x:v>
      </x:c>
      <x:c r="N103" s="15" t="str">
        <x:v>Transported 17 exotic birds from Mexico into the United States.</x:v>
      </x:c>
      <x:c r="O103" s="15" t="str"/>
      <x:c r="P103" s="15" t="str">
        <x:v>U.S. Department of Justice</x:v>
      </x:c>
      <x:c r="Q103" s="15" t="str">
        <x:v>English</x:v>
      </x:c>
      <x:c r="R103" s="15" t="str">
        <x:v>Official enforcement bulletin</x:v>
      </x:c>
      <x:c r="S103" s="15" t="str">
        <x:v>Environmental Crimes Bulletin - March 2026</x:v>
      </x:c>
      <x:c r="T103" s="15" t="str">
        <x:v>https://www.justice.gov/enrd/blog/environmental-crimes-bulletin-march-2026</x:v>
      </x:c>
      <x:c r="U103" s="15" t="str">
        <x:v>High</x:v>
      </x:c>
      <x:c r="V103" s="15" t="str"/>
    </x:row>
    <x:row r="104">
      <x:c r="A104" s="15" t="n">
        <x:v>103</x:v>
      </x:c>
      <x:c r="B104" s="15" t="str">
        <x:v>2026-03-23</x:v>
      </x:c>
      <x:c r="C104" s="15" t="n">
        <x:v>2026</x:v>
      </x:c>
      <x:c r="D104" s="15" t="str">
        <x:v>Person</x:v>
      </x:c>
      <x:c r="E104" s="15" t="str">
        <x:v>Carlos Abundez</x:v>
      </x:c>
      <x:c r="F104" s="15" t="str"/>
      <x:c r="G104" s="15" t="str">
        <x:v>United States / Mexico</x:v>
      </x:c>
      <x:c r="H104" s="15" t="str">
        <x:v>North America</x:v>
      </x:c>
      <x:c r="I104" s="15" t="str">
        <x:v>Bird smuggler</x:v>
      </x:c>
      <x:c r="J104" s="15" t="str">
        <x:v>Sentenced/Convicted</x:v>
      </x:c>
      <x:c r="K104" s="15" t="str">
        <x:v>Convicted of smuggling protected birds.</x:v>
      </x:c>
      <x:c r="L104" s="15" t="str">
        <x:v>Ordered to pay $74,330 to the Lacey Act Reward Fund; sentence reported in 2026 bulletin.</x:v>
      </x:c>
      <x:c r="M104" s="15" t="str">
        <x:v>Keel-billed toucans</x:v>
      </x:c>
      <x:c r="N104" s="15" t="str">
        <x:v>Smuggled 14 toucans concealed in a vehicle dashboard.</x:v>
      </x:c>
      <x:c r="O104" s="15" t="str"/>
      <x:c r="P104" s="15" t="str">
        <x:v>U.S. Department of Justice</x:v>
      </x:c>
      <x:c r="Q104" s="15" t="str">
        <x:v>English</x:v>
      </x:c>
      <x:c r="R104" s="15" t="str">
        <x:v>Official enforcement bulletin</x:v>
      </x:c>
      <x:c r="S104" s="15" t="str">
        <x:v>Environmental Crimes Bulletin - March 2026</x:v>
      </x:c>
      <x:c r="T104" s="15" t="str">
        <x:v>https://www.justice.gov/enrd/blog/environmental-crimes-bulletin-march-2026</x:v>
      </x:c>
      <x:c r="U104" s="15" t="str">
        <x:v>High</x:v>
      </x:c>
      <x:c r="V104" s="15" t="str"/>
    </x:row>
    <x:row r="105">
      <x:c r="A105" s="15" t="n">
        <x:v>104</x:v>
      </x:c>
      <x:c r="B105" s="15" t="str">
        <x:v>2025-11-14</x:v>
      </x:c>
      <x:c r="C105" s="15" t="n">
        <x:v>2025</x:v>
      </x:c>
      <x:c r="D105" s="15" t="str">
        <x:v>Person</x:v>
      </x:c>
      <x:c r="E105" s="15" t="str">
        <x:v>Jesse Agus Martinez</x:v>
      </x:c>
      <x:c r="F105" s="15" t="str"/>
      <x:c r="G105" s="15" t="str">
        <x:v>United States / Mexico</x:v>
      </x:c>
      <x:c r="H105" s="15" t="str">
        <x:v>North America</x:v>
      </x:c>
      <x:c r="I105" s="15" t="str">
        <x:v>Bird-smuggling defendant</x:v>
      </x:c>
      <x:c r="J105" s="15" t="str">
        <x:v>Charged/Indicted</x:v>
      </x:c>
      <x:c r="K105" s="15" t="str">
        <x:v>Indicted for allegedly smuggling protected parakeets.</x:v>
      </x:c>
      <x:c r="L105" s="15" t="str">
        <x:v>Charge-stage case.</x:v>
      </x:c>
      <x:c r="M105" s="15" t="str">
        <x:v>Orange-fronted parakeets</x:v>
      </x:c>
      <x:c r="N105" s="15" t="str">
        <x:v>Prosecutors alleged two birds were concealed in clothing while crossing the border.</x:v>
      </x:c>
      <x:c r="O105" s="15" t="str"/>
      <x:c r="P105" s="15" t="str">
        <x:v>U.S. Department of Justice</x:v>
      </x:c>
      <x:c r="Q105" s="15" t="str">
        <x:v>English</x:v>
      </x:c>
      <x:c r="R105" s="15" t="str">
        <x:v>Official enforcement bulletin</x:v>
      </x:c>
      <x:c r="S105" s="15" t="str">
        <x:v>Environmental Crimes Bulletin - November and December 2025</x:v>
      </x:c>
      <x:c r="T105" s="15" t="str">
        <x:v>https://www.justice.gov/enrd/blog/environmental-crimes-bulletin-november-and-december-2025</x:v>
      </x:c>
      <x:c r="U105" s="15" t="str">
        <x:v>High</x:v>
      </x:c>
      <x:c r="V105" s="15" t="str">
        <x:v>Indictment-stage allegation.</x:v>
      </x:c>
    </x:row>
    <x:row r="106">
      <x:c r="A106" s="15" t="n">
        <x:v>105</x:v>
      </x:c>
      <x:c r="B106" s="15" t="str">
        <x:v>2026-05-15</x:v>
      </x:c>
      <x:c r="C106" s="15" t="n">
        <x:v>2026</x:v>
      </x:c>
      <x:c r="D106" s="15" t="str">
        <x:v>Person</x:v>
      </x:c>
      <x:c r="E106" s="15" t="str">
        <x:v>Donald Do</x:v>
      </x:c>
      <x:c r="F106" s="15" t="str"/>
      <x:c r="G106" s="15" t="str">
        <x:v>United States / Taiwan</x:v>
      </x:c>
      <x:c r="H106" s="15" t="str">
        <x:v>North America / East Asia</x:v>
      </x:c>
      <x:c r="I106" s="15" t="str">
        <x:v>Turtle export defendant</x:v>
      </x:c>
      <x:c r="J106" s="15" t="str">
        <x:v>Charged/Indicted</x:v>
      </x:c>
      <x:c r="K106" s="15" t="str">
        <x:v>Arrested and charged with conspiracy and Lacey Act offenses connected to an attempted export of trafficked turtles.</x:v>
      </x:c>
      <x:c r="L106" s="15" t="str">
        <x:v>Case pending at cited date.</x:v>
      </x:c>
      <x:c r="M106" s="15" t="str">
        <x:v>Loggerhead musk turtles</x:v>
      </x:c>
      <x:c r="N106" s="15" t="str">
        <x:v>Allegedly bought wild-poached turtles, represented them as captive-bred and attempted to ship 292 turtles to Taiwan.</x:v>
      </x:c>
      <x:c r="O106" s="15" t="str"/>
      <x:c r="P106" s="15" t="str">
        <x:v>U.S. Department of Justice</x:v>
      </x:c>
      <x:c r="Q106" s="15" t="str">
        <x:v>English</x:v>
      </x:c>
      <x:c r="R106" s="15" t="str">
        <x:v>Official enforcement</x:v>
      </x:c>
      <x:c r="S106" s="15" t="str">
        <x:v>California man arrested for violating Lacey Act for plot to illegally export trafficked turtles</x:v>
      </x:c>
      <x:c r="T106" s="15" t="str">
        <x:v>https://www.justice.gov/opa/pr/california-man-arrested-violating-lacey-act-plot-illegally-export-trafficked-turtles</x:v>
      </x:c>
      <x:c r="U106" s="15" t="str">
        <x:v>High</x:v>
      </x:c>
      <x:c r="V106" s="15" t="str">
        <x:v>Pending charges; allegations are not proof of guilt.</x:v>
      </x:c>
    </x:row>
    <x:row r="107">
      <x:c r="A107" s="15" t="n">
        <x:v>106</x:v>
      </x:c>
      <x:c r="B107" s="15" t="str">
        <x:v>2026-05-07</x:v>
      </x:c>
      <x:c r="C107" s="15" t="n">
        <x:v>2026</x:v>
      </x:c>
      <x:c r="D107" s="15" t="str">
        <x:v>Person</x:v>
      </x:c>
      <x:c r="E107" s="15" t="str">
        <x:v>Albert Bazaar</x:v>
      </x:c>
      <x:c r="F107" s="15" t="str"/>
      <x:c r="G107" s="15" t="str">
        <x:v>United States</x:v>
      </x:c>
      <x:c r="H107" s="15" t="str">
        <x:v>North America</x:v>
      </x:c>
      <x:c r="I107" s="15" t="str">
        <x:v>Alleged turtle poacher / supplier</x:v>
      </x:c>
      <x:c r="J107" s="15" t="str">
        <x:v>Charged/Indicted</x:v>
      </x:c>
      <x:c r="K107" s="15" t="str">
        <x:v>Arrested, detained and charged with conspiracy and Lacey Act offenses.</x:v>
      </x:c>
      <x:c r="L107" s="15" t="str">
        <x:v>Case pending at cited date.</x:v>
      </x:c>
      <x:c r="M107" s="15" t="str">
        <x:v>Loggerhead musk turtles; stripe-neck musk turtles; striped mud turtles</x:v>
      </x:c>
      <x:c r="N107" s="15" t="str">
        <x:v>Prosecutors alleged poaching and sale of more than 1,800 turtles, including shipments to a San Francisco exporter.</x:v>
      </x:c>
      <x:c r="O107" s="15" t="str">
        <x:v>Donald Do-linked turtle trafficking case</x:v>
      </x:c>
      <x:c r="P107" s="15" t="str">
        <x:v>U.S. Department of Justice</x:v>
      </x:c>
      <x:c r="Q107" s="15" t="str">
        <x:v>English</x:v>
      </x:c>
      <x:c r="R107" s="15" t="str">
        <x:v>Official enforcement</x:v>
      </x:c>
      <x:c r="S107" s="15" t="str">
        <x:v>Louisiana man detained on turtle trafficking charges</x:v>
      </x:c>
      <x:c r="T107" s="15" t="str">
        <x:v>https://www.justice.gov/opa/pr/louisiana-man-detained-turtle-trafficking-charges</x:v>
      </x:c>
      <x:c r="U107" s="15" t="str">
        <x:v>High</x:v>
      </x:c>
      <x:c r="V107" s="15" t="str">
        <x:v>Pending charges; allegations are not proof of guilt.</x:v>
      </x:c>
    </x:row>
    <x:row r="108">
      <x:c r="A108" s="15" t="n">
        <x:v>107</x:v>
      </x:c>
      <x:c r="B108" s="15" t="str">
        <x:v>2026-07-23</x:v>
      </x:c>
      <x:c r="C108" s="15" t="n">
        <x:v>2026</x:v>
      </x:c>
      <x:c r="D108" s="15" t="str">
        <x:v>Person</x:v>
      </x:c>
      <x:c r="E108" s="15" t="str">
        <x:v>Kin Keung Ho</x:v>
      </x:c>
      <x:c r="F108" s="15" t="str"/>
      <x:c r="G108" s="15" t="str">
        <x:v>United States / Hong Kong</x:v>
      </x:c>
      <x:c r="H108" s="15" t="str">
        <x:v>North America / East Asia</x:v>
      </x:c>
      <x:c r="I108" s="15" t="str">
        <x:v>Turtle trafficker</x:v>
      </x:c>
      <x:c r="J108" s="15" t="str">
        <x:v>Pleaded Guilty</x:v>
      </x:c>
      <x:c r="K108" s="15" t="str">
        <x:v>Pleaded guilty for his role in trafficking turtles to Asia.</x:v>
      </x:c>
      <x:c r="L108" s="15" t="str">
        <x:v>Sentencing pending after guilty plea.</x:v>
      </x:c>
      <x:c r="M108" s="15" t="str">
        <x:v>Protected turtles</x:v>
      </x:c>
      <x:c r="N108" s="15" t="str">
        <x:v>Participated in illegal export of protected turtles from the United States to Hong Kong.</x:v>
      </x:c>
      <x:c r="O108" s="15" t="str"/>
      <x:c r="P108" s="15" t="str">
        <x:v>U.S. Department of Justice</x:v>
      </x:c>
      <x:c r="Q108" s="15" t="str">
        <x:v>English</x:v>
      </x:c>
      <x:c r="R108" s="15" t="str">
        <x:v>Official enforcement</x:v>
      </x:c>
      <x:c r="S108" s="15" t="str">
        <x:v>Two Chinese nationals plead guilty to trafficking turtles to Hong Kong</x:v>
      </x:c>
      <x:c r="T108" s="15" t="str">
        <x:v>https://www.justice.gov/opa/pr/two-chinese-nationals-plead-guilty-trafficking-turtles-hong-kong</x:v>
      </x:c>
      <x:c r="U108" s="15" t="str">
        <x:v>High</x:v>
      </x:c>
      <x:c r="V108" s="15" t="str"/>
    </x:row>
    <x:row r="109">
      <x:c r="A109" s="15" t="n">
        <x:v>108</x:v>
      </x:c>
      <x:c r="B109" s="15" t="str">
        <x:v>2026-07-23</x:v>
      </x:c>
      <x:c r="C109" s="15" t="n">
        <x:v>2026</x:v>
      </x:c>
      <x:c r="D109" s="15" t="str">
        <x:v>Person</x:v>
      </x:c>
      <x:c r="E109" s="15" t="str">
        <x:v>Lihua Owen Ma</x:v>
      </x:c>
      <x:c r="F109" s="15" t="str"/>
      <x:c r="G109" s="15" t="str">
        <x:v>United States / Hong Kong</x:v>
      </x:c>
      <x:c r="H109" s="15" t="str">
        <x:v>North America / East Asia</x:v>
      </x:c>
      <x:c r="I109" s="15" t="str">
        <x:v>Turtle trafficker</x:v>
      </x:c>
      <x:c r="J109" s="15" t="str">
        <x:v>Pleaded Guilty</x:v>
      </x:c>
      <x:c r="K109" s="15" t="str">
        <x:v>Pleaded guilty on July 1, 2026, in a related turtle-trafficking case.</x:v>
      </x:c>
      <x:c r="L109" s="15" t="str">
        <x:v>Sentencing pending after guilty plea.</x:v>
      </x:c>
      <x:c r="M109" s="15" t="str">
        <x:v>Protected turtles</x:v>
      </x:c>
      <x:c r="N109" s="15" t="str">
        <x:v>Participated in illegal export of protected turtles from the United States to Hong Kong.</x:v>
      </x:c>
      <x:c r="O109" s="15" t="str"/>
      <x:c r="P109" s="15" t="str">
        <x:v>U.S. Department of Justice</x:v>
      </x:c>
      <x:c r="Q109" s="15" t="str">
        <x:v>English</x:v>
      </x:c>
      <x:c r="R109" s="15" t="str">
        <x:v>Official enforcement</x:v>
      </x:c>
      <x:c r="S109" s="15" t="str">
        <x:v>Two Chinese nationals plead guilty to trafficking turtles to Hong Kong</x:v>
      </x:c>
      <x:c r="T109" s="15" t="str">
        <x:v>https://www.justice.gov/opa/pr/two-chinese-nationals-plead-guilty-trafficking-turtles-hong-kong</x:v>
      </x:c>
      <x:c r="U109" s="15" t="str">
        <x:v>High</x:v>
      </x:c>
      <x:c r="V109" s="15" t="str"/>
    </x:row>
    <x:row r="110">
      <x:c r="A110" s="15" t="n">
        <x:v>109</x:v>
      </x:c>
      <x:c r="B110" s="15" t="str">
        <x:v>2025-12-24</x:v>
      </x:c>
      <x:c r="C110" s="15" t="n">
        <x:v>2025</x:v>
      </x:c>
      <x:c r="D110" s="15" t="str">
        <x:v>Person</x:v>
      </x:c>
      <x:c r="E110" s="15" t="str">
        <x:v>Wei Qiang Lin</x:v>
      </x:c>
      <x:c r="F110" s="15" t="str"/>
      <x:c r="G110" s="15" t="str">
        <x:v>United States / Hong Kong</x:v>
      </x:c>
      <x:c r="H110" s="15" t="str">
        <x:v>North America / East Asia</x:v>
      </x:c>
      <x:c r="I110" s="15" t="str">
        <x:v>Reptile trafficker</x:v>
      </x:c>
      <x:c r="J110" s="15" t="str">
        <x:v>Sentenced/Convicted</x:v>
      </x:c>
      <x:c r="K110" s="15" t="str">
        <x:v>Convicted of falsely labeling live reptiles as toys before exporting them to Hong Kong.</x:v>
      </x:c>
      <x:c r="L110" s="15" t="str">
        <x:v>Two years' imprisonment and $2,339 fine.</x:v>
      </x:c>
      <x:c r="M110" s="15" t="str">
        <x:v>Box turtles; snakes; lizards</x:v>
      </x:c>
      <x:c r="N110" s="15" t="str">
        <x:v>Exported approximately 850 turtles in 222 parcels, with animals concealed in socks; reptiles were destined for Hong Kong.</x:v>
      </x:c>
      <x:c r="O110" s="15" t="str"/>
      <x:c r="P110" s="15" t="str">
        <x:v>U.S. Department of Justice</x:v>
      </x:c>
      <x:c r="Q110" s="15" t="str">
        <x:v>English</x:v>
      </x:c>
      <x:c r="R110" s="15" t="str">
        <x:v>Official enforcement</x:v>
      </x:c>
      <x:c r="S110" s="15" t="str">
        <x:v>Chinese national sentenced to prison for trafficking reptiles</x:v>
      </x:c>
      <x:c r="T110" s="15" t="str">
        <x:v>https://www.justice.gov/opa/pr/chinese-national-sentenced-prison-trafficking-reptiles</x:v>
      </x:c>
      <x:c r="U110" s="15" t="str">
        <x:v>High</x:v>
      </x:c>
      <x:c r="V110" s="15" t="str"/>
    </x:row>
    <x:row r="111">
      <x:c r="A111" s="15" t="n">
        <x:v>110</x:v>
      </x:c>
      <x:c r="B111" s="15" t="str">
        <x:v>2025-03-14</x:v>
      </x:c>
      <x:c r="C111" s="15" t="n">
        <x:v>2025</x:v>
      </x:c>
      <x:c r="D111" s="15" t="str">
        <x:v>Person</x:v>
      </x:c>
      <x:c r="E111" s="15" t="str">
        <x:v>Sai Keung Tin</x:v>
      </x:c>
      <x:c r="F111" s="15" t="str">
        <x:v>Ricky Tin</x:v>
      </x:c>
      <x:c r="G111" s="15" t="str">
        <x:v>United States / Hong Kong</x:v>
      </x:c>
      <x:c r="H111" s="15" t="str">
        <x:v>North America / East Asia</x:v>
      </x:c>
      <x:c r="I111" s="15" t="str">
        <x:v>Turtle trafficker</x:v>
      </x:c>
      <x:c r="J111" s="15" t="str">
        <x:v>Sentenced/Convicted</x:v>
      </x:c>
      <x:c r="K111" s="15" t="str">
        <x:v>Convicted for smuggling protected turtles from the United States to Hong Kong.</x:v>
      </x:c>
      <x:c r="L111" s="15" t="str">
        <x:v>30 months' imprisonment.</x:v>
      </x:c>
      <x:c r="M111" s="15" t="str">
        <x:v>Protected turtles</x:v>
      </x:c>
      <x:c r="N111" s="15" t="str">
        <x:v>Smuggled thousands of turtles worth millions of dollars for the illegal pet trade.</x:v>
      </x:c>
      <x:c r="O111" s="15" t="str"/>
      <x:c r="P111" s="15" t="str">
        <x:v>U.S. Department of Justice</x:v>
      </x:c>
      <x:c r="Q111" s="15" t="str">
        <x:v>English</x:v>
      </x:c>
      <x:c r="R111" s="15" t="str">
        <x:v>Official enforcement</x:v>
      </x:c>
      <x:c r="S111" s="15" t="str">
        <x:v>Chinese national sentenced for smuggling turtles from the United States to Hong Kong</x:v>
      </x:c>
      <x:c r="T111" s="15" t="str">
        <x:v>https://www.justice.gov/opa/pr/chinese-national-sentenced-smuggling-turtles-united-states-hong-kong</x:v>
      </x:c>
      <x:c r="U111" s="15" t="str">
        <x:v>High</x:v>
      </x:c>
      <x:c r="V111" s="15" t="str"/>
    </x:row>
    <x:row r="112">
      <x:c r="A112" s="15" t="n">
        <x:v>111</x:v>
      </x:c>
      <x:c r="B112" s="15" t="str">
        <x:v>2026-03-26</x:v>
      </x:c>
      <x:c r="C112" s="15" t="n">
        <x:v>2026</x:v>
      </x:c>
      <x:c r="D112" s="15" t="str">
        <x:v>Person</x:v>
      </x:c>
      <x:c r="E112" s="15" t="str">
        <x:v>Jimmy Wayne Hammonds</x:v>
      </x:c>
      <x:c r="F112" s="15" t="str">
        <x:v>The Monkey Whisperer</x:v>
      </x:c>
      <x:c r="G112" s="15" t="str">
        <x:v>United States</x:v>
      </x:c>
      <x:c r="H112" s="15" t="str">
        <x:v>North America</x:v>
      </x:c>
      <x:c r="I112" s="15" t="str">
        <x:v>Primate dealer</x:v>
      </x:c>
      <x:c r="J112" s="15" t="str">
        <x:v>Sentenced/Convicted</x:v>
      </x:c>
      <x:c r="K112" s="15" t="str">
        <x:v>Sentenced for Lacey Act conspiracy and trafficking while on probation for an earlier protected-primate trafficking conviction.</x:v>
      </x:c>
      <x:c r="L112" s="15" t="str">
        <x:v>Nine months' federal imprisonment followed by three years' supervised release.</x:v>
      </x:c>
      <x:c r="M112" s="15" t="str">
        <x:v>Primates; cotton-top tamarins; capuchin monkey</x:v>
      </x:c>
      <x:c r="N112" s="15" t="str">
        <x:v>Repeat trafficking case involving protected primates and false records.</x:v>
      </x:c>
      <x:c r="O112" s="15" t="str">
        <x:v>The Monkey Whisperer, LLC</x:v>
      </x:c>
      <x:c r="P112" s="15" t="str">
        <x:v>U.S. Department of Justice</x:v>
      </x:c>
      <x:c r="Q112" s="15" t="str">
        <x:v>English</x:v>
      </x:c>
      <x:c r="R112" s="15" t="str">
        <x:v>Official enforcement</x:v>
      </x:c>
      <x:c r="S112" s="15" t="str">
        <x:v>The Monkey Whisperer sentenced to federal prison for trafficking primates while on probation</x:v>
      </x:c>
      <x:c r="T112" s="15" t="str">
        <x:v>https://www.justice.gov/usao-mdfl/pr/monkey-whisperer-sentenced-federal-prison-trafficking-primates-while-probation-same</x:v>
      </x:c>
      <x:c r="U112" s="15" t="str">
        <x:v>High</x:v>
      </x:c>
      <x:c r="V112" s="15" t="str"/>
    </x:row>
    <x:row r="113">
      <x:c r="A113" s="15" t="n">
        <x:v>112</x:v>
      </x:c>
      <x:c r="B113" s="15" t="str">
        <x:v>2024-11-15</x:v>
      </x:c>
      <x:c r="C113" s="15" t="n">
        <x:v>2024</x:v>
      </x:c>
      <x:c r="D113" s="15" t="str">
        <x:v>Person</x:v>
      </x:c>
      <x:c r="E113" s="15" t="str">
        <x:v>Johnny D-Lane Hammonds</x:v>
      </x:c>
      <x:c r="F113" s="15" t="str"/>
      <x:c r="G113" s="15" t="str">
        <x:v>United States</x:v>
      </x:c>
      <x:c r="H113" s="15" t="str">
        <x:v>North America</x:v>
      </x:c>
      <x:c r="I113" s="15" t="str">
        <x:v>Primate-trafficking defendant</x:v>
      </x:c>
      <x:c r="J113" s="15" t="str">
        <x:v>Charged/Indicted</x:v>
      </x:c>
      <x:c r="K113" s="15" t="str">
        <x:v>Indicted with Jimmy Wayne Hammonds for alleged conspiracy and Lacey Act trafficking.</x:v>
      </x:c>
      <x:c r="L113" s="15" t="str">
        <x:v>Case status in this row reflects the 2024 indictment.</x:v>
      </x:c>
      <x:c r="M113" s="15" t="str">
        <x:v>Monkeys / primates</x:v>
      </x:c>
      <x:c r="N113" s="15" t="str">
        <x:v>Prosecutors alleged illegal trafficking of monkeys.</x:v>
      </x:c>
      <x:c r="O113" s="15" t="str">
        <x:v>The Monkey Whisperer network</x:v>
      </x:c>
      <x:c r="P113" s="15" t="str">
        <x:v>U.S. Department of Justice</x:v>
      </x:c>
      <x:c r="Q113" s="15" t="str">
        <x:v>English</x:v>
      </x:c>
      <x:c r="R113" s="15" t="str">
        <x:v>Official enforcement</x:v>
      </x:c>
      <x:c r="S113" s="15" t="str">
        <x:v>Man known as The Monkey Whisperer and his brother indicted for illegal trafficking of monkeys</x:v>
      </x:c>
      <x:c r="T113" s="15" t="str">
        <x:v>https://www.justice.gov/usao-mdfl/pr/man-known-monkey-whisperer-and-his-brother-indicted-illegal-trafficking-monkeys</x:v>
      </x:c>
      <x:c r="U113" s="15" t="str">
        <x:v>High</x:v>
      </x:c>
      <x:c r="V113" s="15" t="str">
        <x:v>Indictment-stage allegation.</x:v>
      </x:c>
    </x:row>
    <x:row r="114">
      <x:c r="A114" s="15" t="n">
        <x:v>113</x:v>
      </x:c>
      <x:c r="B114" s="15" t="str">
        <x:v>2022-06-09</x:v>
      </x:c>
      <x:c r="C114" s="15" t="n">
        <x:v>2022</x:v>
      </x:c>
      <x:c r="D114" s="15" t="str">
        <x:v>Business</x:v>
      </x:c>
      <x:c r="E114" s="15" t="str">
        <x:v>The Monkey Whisperer, LLC</x:v>
      </x:c>
      <x:c r="F114" s="15" t="str"/>
      <x:c r="G114" s="15" t="str">
        <x:v>Florida, United States</x:v>
      </x:c>
      <x:c r="H114" s="15" t="str">
        <x:v>North America</x:v>
      </x:c>
      <x:c r="I114" s="15" t="str">
        <x:v>Wildlife breeding and sales business</x:v>
      </x:c>
      <x:c r="J114" s="15" t="str">
        <x:v>Connected Entity</x:v>
      </x:c>
      <x:c r="K114" s="15" t="str">
        <x:v>DOJ identified the company as owned and operated by Jimmy Wayne Hammonds.</x:v>
      </x:c>
      <x:c r="L114" s="15" t="str">
        <x:v>No separate corporate conviction stated in the cited source.</x:v>
      </x:c>
      <x:c r="M114" s="15" t="str">
        <x:v>Primates</x:v>
      </x:c>
      <x:c r="N114" s="15" t="str">
        <x:v>Business was the commercial vehicle for breeding and selling wildlife in Hammonds' protected-primate trafficking case.</x:v>
      </x:c>
      <x:c r="O114" s="15" t="str">
        <x:v>Jimmy Wayne Hammonds case</x:v>
      </x:c>
      <x:c r="P114" s="15" t="str">
        <x:v>U.S. Department of Justice</x:v>
      </x:c>
      <x:c r="Q114" s="15" t="str">
        <x:v>English</x:v>
      </x:c>
      <x:c r="R114" s="15" t="str">
        <x:v>Official enforcement</x:v>
      </x:c>
      <x:c r="S114" s="15" t="str">
        <x:v>Florida man known as The Monkey Whisperer sentenced for trafficking protected primates</x:v>
      </x:c>
      <x:c r="T114" s="15" t="str">
        <x:v>https://www.justice.gov/usao-mdfl/pr/florida-man-known-monkey-whisperer-sentenced-trafficking-protected-primates</x:v>
      </x:c>
      <x:c r="U114" s="15" t="str">
        <x:v>High</x:v>
      </x:c>
      <x:c r="V114" s="15" t="str">
        <x:v>Connected business; source establishes the owner's conviction.</x:v>
      </x:c>
    </x:row>
    <x:row r="115">
      <x:c r="A115" s="15" t="n">
        <x:v>114</x:v>
      </x:c>
      <x:c r="B115" s="15" t="str">
        <x:v>2023-11-17</x:v>
      </x:c>
      <x:c r="C115" s="15" t="n">
        <x:v>2023</x:v>
      </x:c>
      <x:c r="D115" s="15" t="str">
        <x:v>Person</x:v>
      </x:c>
      <x:c r="E115" s="15" t="str">
        <x:v>Kevin Olbrych</x:v>
      </x:c>
      <x:c r="F115" s="15" t="str"/>
      <x:c r="G115" s="15" t="str">
        <x:v>United States</x:v>
      </x:c>
      <x:c r="H115" s="15" t="str">
        <x:v>North America</x:v>
      </x:c>
      <x:c r="I115" s="15" t="str">
        <x:v>Turtle trafficker</x:v>
      </x:c>
      <x:c r="J115" s="15" t="str">
        <x:v>Pleaded Guilty</x:v>
      </x:c>
      <x:c r="K115" s="15" t="str">
        <x:v>Pleaded guilty to two counts of Lacey Act trafficking.</x:v>
      </x:c>
      <x:c r="L115" s="15" t="str">
        <x:v>Sentencing was pending in the cited source.</x:v>
      </x:c>
      <x:c r="M115" s="15" t="str">
        <x:v>Florida box turtles; loggerhead musk turtles; ornate diamondback terrapins</x:v>
      </x:c>
      <x:c r="N115" s="15" t="str">
        <x:v>Trafficked protected Florida turtles.</x:v>
      </x:c>
      <x:c r="O115" s="15" t="str"/>
      <x:c r="P115" s="15" t="str">
        <x:v>U.S. Department of Justice</x:v>
      </x:c>
      <x:c r="Q115" s="15" t="str">
        <x:v>English</x:v>
      </x:c>
      <x:c r="R115" s="15" t="str">
        <x:v>Official enforcement</x:v>
      </x:c>
      <x:c r="S115" s="15" t="str">
        <x:v>Florida man who trafficked in Florida box turtles and other turtles pleads guilty</x:v>
      </x:c>
      <x:c r="T115" s="15" t="str">
        <x:v>https://www.justice.gov/usao-mdfl/pr/florida-man-who-trafficked-florida-box-turtles-loggerhead-musk-turtles-and-ornate</x:v>
      </x:c>
      <x:c r="U115" s="15" t="str">
        <x:v>High</x:v>
      </x:c>
      <x:c r="V115" s="15" t="str"/>
    </x:row>
    <x:row r="116">
      <x:c r="A116" s="15" t="n">
        <x:v>115</x:v>
      </x:c>
      <x:c r="B116" s="15" t="str">
        <x:v>2026-05-22</x:v>
      </x:c>
      <x:c r="C116" s="15" t="n">
        <x:v>2026</x:v>
      </x:c>
      <x:c r="D116" s="15" t="str">
        <x:v>Person</x:v>
      </x:c>
      <x:c r="E116" s="15" t="str">
        <x:v>Héctor Rivera González</x:v>
      </x:c>
      <x:c r="F116" s="15" t="str"/>
      <x:c r="G116" s="15" t="str">
        <x:v>Puerto Rico, United States</x:v>
      </x:c>
      <x:c r="H116" s="15" t="str">
        <x:v>Caribbean / North America</x:v>
      </x:c>
      <x:c r="I116" s="15" t="str">
        <x:v>Migratory-bird trafficker</x:v>
      </x:c>
      <x:c r="J116" s="15" t="str">
        <x:v>Pleaded Guilty</x:v>
      </x:c>
      <x:c r="K116" s="15" t="str">
        <x:v>Pleaded guilty in a federal case involving capture and sale of migratory birds.</x:v>
      </x:c>
      <x:c r="L116" s="15" t="str">
        <x:v>Sentencing scheduled in 2026 according to DOJ bulletin.</x:v>
      </x:c>
      <x:c r="M116" s="15" t="str">
        <x:v>Migratory ducks; geese; white-crowned pigeons</x:v>
      </x:c>
      <x:c r="N116" s="15" t="str">
        <x:v>From 2020 through 2024, defendants captured migratory birds and offered them for sale locally and in private internet chat groups.</x:v>
      </x:c>
      <x:c r="O116" s="15" t="str">
        <x:v>Puerto Rico migratory-bird trafficking case</x:v>
      </x:c>
      <x:c r="P116" s="15" t="str">
        <x:v>U.S. Department of Justice</x:v>
      </x:c>
      <x:c r="Q116" s="15" t="str">
        <x:v>English</x:v>
      </x:c>
      <x:c r="R116" s="15" t="str">
        <x:v>Official enforcement bulletin</x:v>
      </x:c>
      <x:c r="S116" s="15" t="str">
        <x:v>Environmental Crimes Bulletin - May 2026</x:v>
      </x:c>
      <x:c r="T116" s="15" t="str">
        <x:v>https://www.justice.gov/enrd/blog/environmental-crimes-bulletin-may-2026</x:v>
      </x:c>
      <x:c r="U116" s="15" t="str">
        <x:v>High</x:v>
      </x:c>
      <x:c r="V116" s="15" t="str"/>
    </x:row>
    <x:row r="117">
      <x:c r="A117" s="15" t="n">
        <x:v>116</x:v>
      </x:c>
      <x:c r="B117" s="15" t="str">
        <x:v>2026-05-22</x:v>
      </x:c>
      <x:c r="C117" s="15" t="n">
        <x:v>2026</x:v>
      </x:c>
      <x:c r="D117" s="15" t="str">
        <x:v>Person</x:v>
      </x:c>
      <x:c r="E117" s="15" t="str">
        <x:v>Ricardo Morales-Colón</x:v>
      </x:c>
      <x:c r="F117" s="15" t="str"/>
      <x:c r="G117" s="15" t="str">
        <x:v>Puerto Rico, United States</x:v>
      </x:c>
      <x:c r="H117" s="15" t="str">
        <x:v>Caribbean / North America</x:v>
      </x:c>
      <x:c r="I117" s="15" t="str">
        <x:v>Migratory-bird trafficker</x:v>
      </x:c>
      <x:c r="J117" s="15" t="str">
        <x:v>Pleaded Guilty</x:v>
      </x:c>
      <x:c r="K117" s="15" t="str">
        <x:v>Pleaded guilty in a federal case involving capture and sale of migratory birds.</x:v>
      </x:c>
      <x:c r="L117" s="15" t="str">
        <x:v>Sentencing scheduled in 2026 according to DOJ bulletin.</x:v>
      </x:c>
      <x:c r="M117" s="15" t="str">
        <x:v>Migratory ducks; geese; white-crowned pigeons</x:v>
      </x:c>
      <x:c r="N117" s="15" t="str">
        <x:v>From 2020 through 2024, defendants captured migratory birds and offered them for sale locally and in private internet chat groups.</x:v>
      </x:c>
      <x:c r="O117" s="15" t="str">
        <x:v>Puerto Rico migratory-bird trafficking case</x:v>
      </x:c>
      <x:c r="P117" s="15" t="str">
        <x:v>U.S. Department of Justice</x:v>
      </x:c>
      <x:c r="Q117" s="15" t="str">
        <x:v>English</x:v>
      </x:c>
      <x:c r="R117" s="15" t="str">
        <x:v>Official enforcement bulletin</x:v>
      </x:c>
      <x:c r="S117" s="15" t="str">
        <x:v>Environmental Crimes Bulletin - May 2026</x:v>
      </x:c>
      <x:c r="T117" s="15" t="str">
        <x:v>https://www.justice.gov/enrd/blog/environmental-crimes-bulletin-may-2026</x:v>
      </x:c>
      <x:c r="U117" s="15" t="str">
        <x:v>High</x:v>
      </x:c>
      <x:c r="V117" s="15" t="str"/>
    </x:row>
    <x:row r="118">
      <x:c r="A118" s="15" t="n">
        <x:v>117</x:v>
      </x:c>
      <x:c r="B118" s="15" t="str">
        <x:v>2026-05-22</x:v>
      </x:c>
      <x:c r="C118" s="15" t="n">
        <x:v>2026</x:v>
      </x:c>
      <x:c r="D118" s="15" t="str">
        <x:v>Person</x:v>
      </x:c>
      <x:c r="E118" s="15" t="str">
        <x:v>Derline Cordero-Galloza</x:v>
      </x:c>
      <x:c r="F118" s="15" t="str"/>
      <x:c r="G118" s="15" t="str">
        <x:v>Puerto Rico, United States</x:v>
      </x:c>
      <x:c r="H118" s="15" t="str">
        <x:v>Caribbean / North America</x:v>
      </x:c>
      <x:c r="I118" s="15" t="str">
        <x:v>Migratory-bird trafficker</x:v>
      </x:c>
      <x:c r="J118" s="15" t="str">
        <x:v>Pleaded Guilty</x:v>
      </x:c>
      <x:c r="K118" s="15" t="str">
        <x:v>Pleaded guilty in a federal case involving capture and sale of migratory birds.</x:v>
      </x:c>
      <x:c r="L118" s="15" t="str">
        <x:v>Sentencing scheduled in 2026 according to DOJ bulletin.</x:v>
      </x:c>
      <x:c r="M118" s="15" t="str">
        <x:v>Migratory ducks; geese; white-crowned pigeons</x:v>
      </x:c>
      <x:c r="N118" s="15" t="str">
        <x:v>From 2020 through 2024, defendants captured migratory birds and offered them for sale locally and in private internet chat groups.</x:v>
      </x:c>
      <x:c r="O118" s="15" t="str">
        <x:v>Puerto Rico migratory-bird trafficking case</x:v>
      </x:c>
      <x:c r="P118" s="15" t="str">
        <x:v>U.S. Department of Justice</x:v>
      </x:c>
      <x:c r="Q118" s="15" t="str">
        <x:v>English</x:v>
      </x:c>
      <x:c r="R118" s="15" t="str">
        <x:v>Official enforcement bulletin</x:v>
      </x:c>
      <x:c r="S118" s="15" t="str">
        <x:v>Environmental Crimes Bulletin - May 2026</x:v>
      </x:c>
      <x:c r="T118" s="15" t="str">
        <x:v>https://www.justice.gov/enrd/blog/environmental-crimes-bulletin-may-2026</x:v>
      </x:c>
      <x:c r="U118" s="15" t="str">
        <x:v>High</x:v>
      </x:c>
      <x:c r="V118" s="15" t="str"/>
    </x:row>
    <x:row r="119">
      <x:c r="A119" s="15" t="n">
        <x:v>118</x:v>
      </x:c>
      <x:c r="B119" s="15" t="str">
        <x:v>2026-05-22</x:v>
      </x:c>
      <x:c r="C119" s="15" t="n">
        <x:v>2026</x:v>
      </x:c>
      <x:c r="D119" s="15" t="str">
        <x:v>Person</x:v>
      </x:c>
      <x:c r="E119" s="15" t="str">
        <x:v>Ezequiel Muñiz-Salas</x:v>
      </x:c>
      <x:c r="F119" s="15" t="str"/>
      <x:c r="G119" s="15" t="str">
        <x:v>Puerto Rico, United States</x:v>
      </x:c>
      <x:c r="H119" s="15" t="str">
        <x:v>Caribbean / North America</x:v>
      </x:c>
      <x:c r="I119" s="15" t="str">
        <x:v>Migratory-bird trafficker</x:v>
      </x:c>
      <x:c r="J119" s="15" t="str">
        <x:v>Pleaded Guilty</x:v>
      </x:c>
      <x:c r="K119" s="15" t="str">
        <x:v>Pleaded guilty in a federal case involving capture and sale of migratory birds.</x:v>
      </x:c>
      <x:c r="L119" s="15" t="str">
        <x:v>Sentencing scheduled in 2026 according to DOJ bulletin.</x:v>
      </x:c>
      <x:c r="M119" s="15" t="str">
        <x:v>Migratory ducks; geese; white-crowned pigeons</x:v>
      </x:c>
      <x:c r="N119" s="15" t="str">
        <x:v>From 2020 through 2024, defendants captured migratory birds and offered them for sale locally and in private internet chat groups.</x:v>
      </x:c>
      <x:c r="O119" s="15" t="str">
        <x:v>Puerto Rico migratory-bird trafficking case</x:v>
      </x:c>
      <x:c r="P119" s="15" t="str">
        <x:v>U.S. Department of Justice</x:v>
      </x:c>
      <x:c r="Q119" s="15" t="str">
        <x:v>English</x:v>
      </x:c>
      <x:c r="R119" s="15" t="str">
        <x:v>Official enforcement bulletin</x:v>
      </x:c>
      <x:c r="S119" s="15" t="str">
        <x:v>Environmental Crimes Bulletin - May 2026</x:v>
      </x:c>
      <x:c r="T119" s="15" t="str">
        <x:v>https://www.justice.gov/enrd/blog/environmental-crimes-bulletin-may-2026</x:v>
      </x:c>
      <x:c r="U119" s="15" t="str">
        <x:v>High</x:v>
      </x:c>
      <x:c r="V119" s="15" t="str"/>
    </x:row>
    <x:row r="120">
      <x:c r="A120" s="15" t="n">
        <x:v>119</x:v>
      </x:c>
      <x:c r="B120" s="15" t="str">
        <x:v>2026-05-22</x:v>
      </x:c>
      <x:c r="C120" s="15" t="n">
        <x:v>2026</x:v>
      </x:c>
      <x:c r="D120" s="15" t="str">
        <x:v>Person</x:v>
      </x:c>
      <x:c r="E120" s="15" t="str">
        <x:v>Edison Pérez-Collado</x:v>
      </x:c>
      <x:c r="F120" s="15" t="str"/>
      <x:c r="G120" s="15" t="str">
        <x:v>Puerto Rico, United States</x:v>
      </x:c>
      <x:c r="H120" s="15" t="str">
        <x:v>Caribbean / North America</x:v>
      </x:c>
      <x:c r="I120" s="15" t="str">
        <x:v>Migratory-bird trafficker</x:v>
      </x:c>
      <x:c r="J120" s="15" t="str">
        <x:v>Pleaded Guilty</x:v>
      </x:c>
      <x:c r="K120" s="15" t="str">
        <x:v>Pleaded guilty in a federal case involving capture and sale of migratory birds.</x:v>
      </x:c>
      <x:c r="L120" s="15" t="str">
        <x:v>Sentencing scheduled in 2026 according to DOJ bulletin.</x:v>
      </x:c>
      <x:c r="M120" s="15" t="str">
        <x:v>Migratory ducks; geese; white-crowned pigeons</x:v>
      </x:c>
      <x:c r="N120" s="15" t="str">
        <x:v>From 2020 through 2024, defendants captured migratory birds and offered them for sale locally and in private internet chat groups.</x:v>
      </x:c>
      <x:c r="O120" s="15" t="str">
        <x:v>Puerto Rico migratory-bird trafficking case</x:v>
      </x:c>
      <x:c r="P120" s="15" t="str">
        <x:v>U.S. Department of Justice</x:v>
      </x:c>
      <x:c r="Q120" s="15" t="str">
        <x:v>English</x:v>
      </x:c>
      <x:c r="R120" s="15" t="str">
        <x:v>Official enforcement bulletin</x:v>
      </x:c>
      <x:c r="S120" s="15" t="str">
        <x:v>Environmental Crimes Bulletin - May 2026</x:v>
      </x:c>
      <x:c r="T120" s="15" t="str">
        <x:v>https://www.justice.gov/enrd/blog/environmental-crimes-bulletin-may-2026</x:v>
      </x:c>
      <x:c r="U120" s="15" t="str">
        <x:v>High</x:v>
      </x:c>
      <x:c r="V120" s="15" t="str"/>
    </x:row>
    <x:row r="121">
      <x:c r="A121" s="15" t="n">
        <x:v>120</x:v>
      </x:c>
      <x:c r="B121" s="15" t="str">
        <x:v>2021-10-31</x:v>
      </x:c>
      <x:c r="C121" s="15" t="n">
        <x:v>2021</x:v>
      </x:c>
      <x:c r="D121" s="15" t="str">
        <x:v>Person</x:v>
      </x:c>
      <x:c r="E121" s="15" t="str">
        <x:v>Ren Ji Liao</x:v>
      </x:c>
      <x:c r="F121" s="15" t="str"/>
      <x:c r="G121" s="15" t="str">
        <x:v>Bolivia / China</x:v>
      </x:c>
      <x:c r="H121" s="15" t="str">
        <x:v>South America / East Asia</x:v>
      </x:c>
      <x:c r="I121" s="15" t="str">
        <x:v>Jaguar-parts trafficking suspect</x:v>
      </x:c>
      <x:c r="J121" s="15" t="str">
        <x:v>Arrested/Detained</x:v>
      </x:c>
      <x:c r="K121" s="15" t="str">
        <x:v>Named by Earth League International as a top jaguar-trafficking suspect arrested in Bolivia.</x:v>
      </x:c>
      <x:c r="L121" s="15" t="str">
        <x:v>Arrest reported; subsequent judicial outcome not stated in cited source.</x:v>
      </x:c>
      <x:c r="M121" s="15" t="str">
        <x:v>Jaguar parts</x:v>
      </x:c>
      <x:c r="N121" s="15" t="str">
        <x:v>Operation Jaguar investigators linked suspects to trafficking jaguar parts from Bolivia toward China.</x:v>
      </x:c>
      <x:c r="O121" s="15" t="str">
        <x:v>Operation Jaguar</x:v>
      </x:c>
      <x:c r="P121" s="15" t="str">
        <x:v>Earth League International</x:v>
      </x:c>
      <x:c r="Q121" s="15" t="str">
        <x:v>English</x:v>
      </x:c>
      <x:c r="R121" s="15" t="str">
        <x:v>NGO investigation / enforcement support</x:v>
      </x:c>
      <x:c r="S121" s="15" t="str">
        <x:v>Bolivia arrests top jaguar traffickers</x:v>
      </x:c>
      <x:c r="T121" s="15" t="str">
        <x:v>https://earthleagueinternational.org/2021/10/31/bolivia-arrests-top-jaguar-traffickers/</x:v>
      </x:c>
      <x:c r="U121" s="15" t="str">
        <x:v>Medium</x:v>
      </x:c>
      <x:c r="V121" s="15" t="str">
        <x:v>NGO reporting of arrests and alleged trafficking. Some names are published only in partial form.</x:v>
      </x:c>
    </x:row>
    <x:row r="122">
      <x:c r="A122" s="15" t="n">
        <x:v>121</x:v>
      </x:c>
      <x:c r="B122" s="15" t="str">
        <x:v>2021-10-31</x:v>
      </x:c>
      <x:c r="C122" s="15" t="n">
        <x:v>2021</x:v>
      </x:c>
      <x:c r="D122" s="15" t="str">
        <x:v>Person</x:v>
      </x:c>
      <x:c r="E122" s="15" t="str">
        <x:v>Mr Yeh</x:v>
      </x:c>
      <x:c r="F122" s="15" t="str"/>
      <x:c r="G122" s="15" t="str">
        <x:v>Bolivia / China</x:v>
      </x:c>
      <x:c r="H122" s="15" t="str">
        <x:v>South America / East Asia</x:v>
      </x:c>
      <x:c r="I122" s="15" t="str">
        <x:v>Jaguar-parts trafficking suspect</x:v>
      </x:c>
      <x:c r="J122" s="15" t="str">
        <x:v>Arrested/Detained</x:v>
      </x:c>
      <x:c r="K122" s="15" t="str">
        <x:v>Named by Earth League International as a top jaguar-trafficking suspect arrested in Bolivia.</x:v>
      </x:c>
      <x:c r="L122" s="15" t="str">
        <x:v>Arrest reported; subsequent judicial outcome not stated in cited source.</x:v>
      </x:c>
      <x:c r="M122" s="15" t="str">
        <x:v>Jaguar parts</x:v>
      </x:c>
      <x:c r="N122" s="15" t="str">
        <x:v>Operation Jaguar investigators linked suspects to trafficking jaguar parts from Bolivia toward China.</x:v>
      </x:c>
      <x:c r="O122" s="15" t="str">
        <x:v>Operation Jaguar</x:v>
      </x:c>
      <x:c r="P122" s="15" t="str">
        <x:v>Earth League International</x:v>
      </x:c>
      <x:c r="Q122" s="15" t="str">
        <x:v>English</x:v>
      </x:c>
      <x:c r="R122" s="15" t="str">
        <x:v>NGO investigation / enforcement support</x:v>
      </x:c>
      <x:c r="S122" s="15" t="str">
        <x:v>Bolivia arrests top jaguar traffickers</x:v>
      </x:c>
      <x:c r="T122" s="15" t="str">
        <x:v>https://earthleagueinternational.org/2021/10/31/bolivia-arrests-top-jaguar-traffickers/</x:v>
      </x:c>
      <x:c r="U122" s="15" t="str">
        <x:v>Medium</x:v>
      </x:c>
      <x:c r="V122" s="15" t="str">
        <x:v>NGO reporting of arrests and alleged trafficking. Some names are published only in partial form.</x:v>
      </x:c>
    </x:row>
    <x:row r="123">
      <x:c r="A123" s="15" t="n">
        <x:v>122</x:v>
      </x:c>
      <x:c r="B123" s="15" t="str">
        <x:v>2021-10-31</x:v>
      </x:c>
      <x:c r="C123" s="15" t="n">
        <x:v>2021</x:v>
      </x:c>
      <x:c r="D123" s="15" t="str">
        <x:v>Person</x:v>
      </x:c>
      <x:c r="E123" s="15" t="str">
        <x:v>Xiao Hong</x:v>
      </x:c>
      <x:c r="F123" s="15" t="str"/>
      <x:c r="G123" s="15" t="str">
        <x:v>Bolivia / China</x:v>
      </x:c>
      <x:c r="H123" s="15" t="str">
        <x:v>South America / East Asia</x:v>
      </x:c>
      <x:c r="I123" s="15" t="str">
        <x:v>Jaguar-parts trafficking suspect</x:v>
      </x:c>
      <x:c r="J123" s="15" t="str">
        <x:v>Arrested/Detained</x:v>
      </x:c>
      <x:c r="K123" s="15" t="str">
        <x:v>Named by Earth League International as a top jaguar-trafficking suspect arrested in Bolivia.</x:v>
      </x:c>
      <x:c r="L123" s="15" t="str">
        <x:v>Arrest reported; subsequent judicial outcome not stated in cited source.</x:v>
      </x:c>
      <x:c r="M123" s="15" t="str">
        <x:v>Jaguar parts</x:v>
      </x:c>
      <x:c r="N123" s="15" t="str">
        <x:v>Operation Jaguar investigators linked suspects to trafficking jaguar parts from Bolivia toward China.</x:v>
      </x:c>
      <x:c r="O123" s="15" t="str">
        <x:v>Operation Jaguar</x:v>
      </x:c>
      <x:c r="P123" s="15" t="str">
        <x:v>Earth League International</x:v>
      </x:c>
      <x:c r="Q123" s="15" t="str">
        <x:v>English</x:v>
      </x:c>
      <x:c r="R123" s="15" t="str">
        <x:v>NGO investigation / enforcement support</x:v>
      </x:c>
      <x:c r="S123" s="15" t="str">
        <x:v>Bolivia arrests top jaguar traffickers</x:v>
      </x:c>
      <x:c r="T123" s="15" t="str">
        <x:v>https://earthleagueinternational.org/2021/10/31/bolivia-arrests-top-jaguar-traffickers/</x:v>
      </x:c>
      <x:c r="U123" s="15" t="str">
        <x:v>Medium</x:v>
      </x:c>
      <x:c r="V123" s="15" t="str">
        <x:v>NGO reporting of arrests and alleged trafficking. Some names are published only in partial form.</x:v>
      </x:c>
    </x:row>
    <x:row r="124">
      <x:c r="A124" s="15" t="n">
        <x:v>123</x:v>
      </x:c>
      <x:c r="B124" s="15" t="str">
        <x:v>2021-10-31</x:v>
      </x:c>
      <x:c r="C124" s="15" t="n">
        <x:v>2021</x:v>
      </x:c>
      <x:c r="D124" s="15" t="str">
        <x:v>Person</x:v>
      </x:c>
      <x:c r="E124" s="15" t="str">
        <x:v>Mr Ma</x:v>
      </x:c>
      <x:c r="F124" s="15" t="str"/>
      <x:c r="G124" s="15" t="str">
        <x:v>Bolivia / China</x:v>
      </x:c>
      <x:c r="H124" s="15" t="str">
        <x:v>South America / East Asia</x:v>
      </x:c>
      <x:c r="I124" s="15" t="str">
        <x:v>Jaguar-parts trafficking suspect</x:v>
      </x:c>
      <x:c r="J124" s="15" t="str">
        <x:v>Arrested/Detained</x:v>
      </x:c>
      <x:c r="K124" s="15" t="str">
        <x:v>Named by Earth League International as a top jaguar-trafficking suspect arrested in Bolivia.</x:v>
      </x:c>
      <x:c r="L124" s="15" t="str">
        <x:v>Arrest reported; subsequent judicial outcome not stated in cited source.</x:v>
      </x:c>
      <x:c r="M124" s="15" t="str">
        <x:v>Jaguar parts</x:v>
      </x:c>
      <x:c r="N124" s="15" t="str">
        <x:v>Operation Jaguar investigators linked suspects to trafficking jaguar parts from Bolivia toward China.</x:v>
      </x:c>
      <x:c r="O124" s="15" t="str">
        <x:v>Operation Jaguar</x:v>
      </x:c>
      <x:c r="P124" s="15" t="str">
        <x:v>Earth League International</x:v>
      </x:c>
      <x:c r="Q124" s="15" t="str">
        <x:v>English</x:v>
      </x:c>
      <x:c r="R124" s="15" t="str">
        <x:v>NGO investigation / enforcement support</x:v>
      </x:c>
      <x:c r="S124" s="15" t="str">
        <x:v>Bolivia arrests top jaguar traffickers</x:v>
      </x:c>
      <x:c r="T124" s="15" t="str">
        <x:v>https://earthleagueinternational.org/2021/10/31/bolivia-arrests-top-jaguar-traffickers/</x:v>
      </x:c>
      <x:c r="U124" s="15" t="str">
        <x:v>Medium</x:v>
      </x:c>
      <x:c r="V124" s="15" t="str">
        <x:v>NGO reporting of arrests and alleged trafficking. Some names are published only in partial form.</x:v>
      </x:c>
    </x:row>
    <x:row r="125">
      <x:c r="A125" s="15" t="n">
        <x:v>124</x:v>
      </x:c>
      <x:c r="B125" s="15" t="str">
        <x:v>2021-10-31</x:v>
      </x:c>
      <x:c r="C125" s="15" t="n">
        <x:v>2021</x:v>
      </x:c>
      <x:c r="D125" s="15" t="str">
        <x:v>Person</x:v>
      </x:c>
      <x:c r="E125" s="15" t="str">
        <x:v>Ma Zhang Yang</x:v>
      </x:c>
      <x:c r="F125" s="15" t="str"/>
      <x:c r="G125" s="15" t="str">
        <x:v>Bolivia / China</x:v>
      </x:c>
      <x:c r="H125" s="15" t="str">
        <x:v>South America / East Asia</x:v>
      </x:c>
      <x:c r="I125" s="15" t="str">
        <x:v>Jaguar-parts trafficking suspect</x:v>
      </x:c>
      <x:c r="J125" s="15" t="str">
        <x:v>Arrested/Detained</x:v>
      </x:c>
      <x:c r="K125" s="15" t="str">
        <x:v>Named by Earth League International as a top jaguar-trafficking suspect arrested in Bolivia.</x:v>
      </x:c>
      <x:c r="L125" s="15" t="str">
        <x:v>Arrest reported; subsequent judicial outcome not stated in cited source.</x:v>
      </x:c>
      <x:c r="M125" s="15" t="str">
        <x:v>Jaguar parts</x:v>
      </x:c>
      <x:c r="N125" s="15" t="str">
        <x:v>Operation Jaguar investigators linked suspects to trafficking jaguar parts from Bolivia toward China.</x:v>
      </x:c>
      <x:c r="O125" s="15" t="str">
        <x:v>Operation Jaguar</x:v>
      </x:c>
      <x:c r="P125" s="15" t="str">
        <x:v>Earth League International</x:v>
      </x:c>
      <x:c r="Q125" s="15" t="str">
        <x:v>English</x:v>
      </x:c>
      <x:c r="R125" s="15" t="str">
        <x:v>NGO investigation / enforcement support</x:v>
      </x:c>
      <x:c r="S125" s="15" t="str">
        <x:v>Bolivia arrests top jaguar traffickers</x:v>
      </x:c>
      <x:c r="T125" s="15" t="str">
        <x:v>https://earthleagueinternational.org/2021/10/31/bolivia-arrests-top-jaguar-traffickers/</x:v>
      </x:c>
      <x:c r="U125" s="15" t="str">
        <x:v>Medium</x:v>
      </x:c>
      <x:c r="V125" s="15" t="str">
        <x:v>NGO reporting of arrests and alleged trafficking. Some names are published only in partial form.</x:v>
      </x:c>
    </x:row>
    <x:row r="126">
      <x:c r="A126" s="15" t="n">
        <x:v>125</x:v>
      </x:c>
      <x:c r="B126" s="15" t="str">
        <x:v>2026-05-07</x:v>
      </x:c>
      <x:c r="C126" s="15" t="n">
        <x:v>2026</x:v>
      </x:c>
      <x:c r="D126" s="15" t="str">
        <x:v>Person</x:v>
      </x:c>
      <x:c r="E126" s="15" t="str">
        <x:v>Tony Silva</x:v>
      </x:c>
      <x:c r="F126" s="15" t="str"/>
      <x:c r="G126" s="15" t="str">
        <x:v>Brazil / United States</x:v>
      </x:c>
      <x:c r="H126" s="15" t="str">
        <x:v>South America / North America</x:v>
      </x:c>
      <x:c r="I126" s="15" t="str">
        <x:v>Bird expert / investigative subject</x:v>
      </x:c>
      <x:c r="J126" s="15" t="str">
        <x:v>Investigated/Alleged</x:v>
      </x:c>
      <x:c r="K126" s="15" t="str">
        <x:v>Brazilian Federal Police seized electronic devices from Silva in a wildlife-trafficking probe reported by Mongabay.</x:v>
      </x:c>
      <x:c r="L126" s="15" t="str">
        <x:v>Investigation ongoing in cited reporting; no new criminal finding stated.</x:v>
      </x:c>
      <x:c r="M126" s="15" t="str">
        <x:v>Birds; golden lion tamarin investigation context</x:v>
      </x:c>
      <x:c r="N126" s="15" t="str">
        <x:v>Reporting linked the investigative action to a broader probe into international wildlife trafficking.</x:v>
      </x:c>
      <x:c r="O126" s="15" t="str"/>
      <x:c r="P126" s="15" t="str">
        <x:v>Mongabay</x:v>
      </x:c>
      <x:c r="Q126" s="15" t="str">
        <x:v>English</x:v>
      </x:c>
      <x:c r="R126" s="15" t="str">
        <x:v>Investigative news</x:v>
      </x:c>
      <x:c r="S126" s="15" t="str">
        <x:v>Brazil police seize devices from bird expert in trafficking probe linked to Vantara zoo</x:v>
      </x:c>
      <x:c r="T126" s="15" t="str">
        <x:v>https://news.mongabay.com/2026/05/brazil-police-seize-devices-from-bird-expert-in-trafficking-probe-linked-to-vantara-zoo/</x:v>
      </x:c>
      <x:c r="U126" s="15" t="str">
        <x:v>Medium</x:v>
      </x:c>
      <x:c r="V126" s="15" t="str">
        <x:v>Investigative action only. The cited 2026 report does not establish guilt in the current probe.</x:v>
      </x:c>
    </x:row>
  </x:sheetData>
  <x:conditionalFormatting sqref="J2:J126">
    <x:cfRule type="expression" dxfId="0" priority="1">
      <x:formula>J2="Sentenced/Convicted"</x:formula>
    </x:cfRule>
    <x:cfRule type="expression" dxfId="1" priority="2">
      <x:formula>J2="Pleaded Guilty"</x:formula>
    </x:cfRule>
    <x:cfRule type="expression" dxfId="2" priority="3">
      <x:formula>J2="Charged/Indicted"</x:formula>
    </x:cfRule>
    <x:cfRule type="expression" dxfId="3" priority="4">
      <x:formula>J2="Arrested/Detained"</x:formula>
    </x:cfRule>
    <x:cfRule type="expression" dxfId="4" priority="5">
      <x:formula>J2="Investigated/Alleged"</x:formula>
    </x:cfRule>
    <x:cfRule type="expression" dxfId="5" priority="6">
      <x:formula>J2="Wanted/Reward"</x:formula>
    </x:cfRule>
    <x:cfRule type="expression" dxfId="6" priority="7">
      <x:formula>J2="Charges Withdrawn/Dismissed"</x:formula>
    </x:cfRule>
    <x:cfRule type="expression" dxfId="7" priority="8">
      <x:formula>J2="Connected Entity"</x:formula>
    </x:cfRule>
  </x:conditionalFormatting>
  <x:dataValidations count="1">
    <x:dataValidation type="list" sqref="U2:U126">
      <x:formula1>"High,Medium,Low"</x:formula1>
    </x:dataValidation>
  </x:dataValidations>
  <x:pageMargins left="0.7" right="0.7" top="0.75" bottom="0.75" header="0.3" footer="0.3"/>
  <x:tableParts count="1">
    <x:tablePart xmlns:r="http://schemas.openxmlformats.org/officeDocument/2006/relationships" r:id="R25c2a54f371a4e5d"/>
  </x:tableParts>
</x:worksheet>
</file>

<file path=xl/worksheets/sheet3.xml><?xml version="1.0" encoding="utf-8"?>
<x:worksheet xmlns:x="http://schemas.openxmlformats.org/spreadsheetml/2006/main">
  <x:sheetFormatPr defaultRowHeight="15"/>
  <x:cols>
    <x:col min="1" max="1" width="24" hidden="0" customWidth="1"/>
    <x:col min="2" max="2" width="95" hidden="0" customWidth="1"/>
    <x:col min="4" max="4" width="34" hidden="0" customWidth="1"/>
    <x:col min="5" max="5" width="12" hidden="0" customWidth="1"/>
  </x:cols>
  <x:sheetData>
    <x:row r="1">
      <x:c r="A1" s="30" t="str">
        <x:v>Methodology and Use Notes</x:v>
      </x:c>
      <x:c r="B1" s="30"/>
      <x:c r="C1" s="30"/>
      <x:c r="D1" s="30"/>
      <x:c r="E1" s="30"/>
      <x:c r="F1" s="30"/>
    </x:row>
    <x:row r="3">
      <x:c r="A3" s="6" t="str">
        <x:v>Field</x:v>
      </x:c>
      <x:c r="B3" s="6" t="str">
        <x:v>Method / rule</x:v>
      </x:c>
      <x:c r="D3" s="6" t="str">
        <x:v>Source Publisher</x:v>
      </x:c>
      <x:c r="E3" s="6" t="str">
        <x:v>Records</x:v>
      </x:c>
    </x:row>
    <x:row r="4">
      <x:c r="A4" s="33" t="str">
        <x:v>Coverage window</x:v>
      </x:c>
      <x:c r="B4" s="12" t="str">
        <x:v>1 January 2010 through 13 August 2026.</x:v>
      </x:c>
      <x:c r="D4" t="str">
        <x:v>U.S. Department of Justice</x:v>
      </x:c>
      <x:c r="E4" t="n">
        <x:v>80</x:v>
      </x:c>
    </x:row>
    <x:row r="5">
      <x:c r="A5" s="33" t="str">
        <x:v>Search scope</x:v>
      </x:c>
      <x:c r="B5" s="12" t="str">
        <x:v>Broad multilingual web searching across official enforcement releases, court/enforcement summaries, major news outlets, conservation NGOs and investigative reporting. Searches included English and non-English search terms, including Vietnamese, Chinese, Spanish, Portuguese, German, Polish and Russian variants.</x:v>
      </x:c>
      <x:c r="D5" t="str">
        <x:v>Wildlife Justice Commission</x:v>
      </x:c>
      <x:c r="E5" t="n">
        <x:v>12</x:v>
      </x:c>
    </x:row>
    <x:row r="6">
      <x:c r="A6" s="33" t="str">
        <x:v>Inclusion rule</x:v>
      </x:c>
      <x:c r="B6" s="12" t="str">
        <x:v>A row is included only where a source actually names the person, business, organization, facility, nonprofit or network and links it to a wildlife-trafficking, illegal wildlife trade, seizure, smuggling, poaching-for-trade, or closely related enforcement/investigative case.</x:v>
      </x:c>
      <x:c r="D6" t="str">
        <x:v>Environmental Investigation Agency</x:v>
      </x:c>
      <x:c r="E6" t="n">
        <x:v>6</x:v>
      </x:c>
    </x:row>
    <x:row r="7">
      <x:c r="A7" s="33" t="str">
        <x:v>Row unit</x:v>
      </x:c>
      <x:c r="B7" s="12" t="str">
        <x:v>One named subject per row. A single case may therefore have multiple rows.</x:v>
      </x:c>
      <x:c r="D7" t="str">
        <x:v>Reuters</x:v>
      </x:c>
      <x:c r="E7" t="n">
        <x:v>6</x:v>
      </x:c>
    </x:row>
    <x:row r="8">
      <x:c r="A8" s="33" t="str">
        <x:v>Status normalization</x:v>
      </x:c>
      <x:c r="B8" s="12" t="str">
        <x:v>Status Group is deliberately conservative: Sentenced/Convicted; Pleaded Guilty; Charged/Indicted; Arrested/Detained; Wanted/Reward; Investigated/Alleged; Charges Withdrawn/Dismissed; Connected Entity.</x:v>
      </x:c>
      <x:c r="D8" t="str">
        <x:v>Earth League International</x:v>
      </x:c>
      <x:c r="E8" t="n">
        <x:v>5</x:v>
      </x:c>
    </x:row>
    <x:row r="9">
      <x:c r="A9" s="33" t="str">
        <x:v>Connected entities</x:v>
      </x:c>
      <x:c r="B9" s="12" t="str">
        <x:v>Businesses and organizations are indexed separately when the source explicitly connects them to the case. If a source does not say the entity itself was charged or convicted, the row is marked Connected Entity.</x:v>
      </x:c>
      <x:c r="D9" t="str">
        <x:v>Education for Nature Vietnam</x:v>
      </x:c>
      <x:c r="E9" t="n">
        <x:v>2</x:v>
      </x:c>
    </x:row>
    <x:row r="10">
      <x:c r="A10" s="33" t="str">
        <x:v>Source hierarchy</x:v>
      </x:c>
      <x:c r="B10" s="12" t="str">
        <x:v>Highest priority: government / prosecutors / courts. Then major media. Then specialist NGOs with case-investigation or court-monitoring roles. Lower-confidence investigative reporting is marked Medium.</x:v>
      </x:c>
      <x:c r="D10" t="str">
        <x:v>Mongabay</x:v>
      </x:c>
      <x:c r="E10" t="n">
        <x:v>2</x:v>
      </x:c>
    </x:row>
    <x:row r="11">
      <x:c r="A11" s="33" t="str">
        <x:v>Legal caution</x:v>
      </x:c>
      <x:c r="B11" s="12" t="str">
        <x:v>Arrest, investigation, indictment, accusation, inclusion in a reward program, or being named as a connected entity is not proof of criminal guilt. Read the full source and caveat before dissemination.</x:v>
      </x:c>
      <x:c r="D11" t="str">
        <x:v>Save the Rhino International</x:v>
      </x:c>
      <x:c r="E11" t="n">
        <x:v>2</x:v>
      </x:c>
    </x:row>
    <x:row r="12">
      <x:c r="A12" s="33" t="str">
        <x:v>Completeness</x:v>
      </x:c>
      <x:c r="B12" s="12" t="str">
        <x:v>This workbook is not exhaustive. There is no single searchable global archive of all wildlife trafficking reporting, many cases do not publish names, some sources are removed or poorly indexed, and coverage is uneven across countries and languages.</x:v>
      </x:c>
      <x:c r="D12" t="str">
        <x:v>The Guardian</x:v>
      </x:c>
      <x:c r="E12" t="n">
        <x:v>2</x:v>
      </x:c>
    </x:row>
    <x:row r="13">
      <x:c r="A13" s="33" t="str">
        <x:v>Deduplication</x:v>
      </x:c>
      <x:c r="B13" s="12" t="str">
        <x:v>Obvious aliases are kept in the Alias field rather than creating duplicate subject rows where the identity is clear.</x:v>
      </x:c>
      <x:c r="D13" t="str">
        <x:v>U.S. Department of State</x:v>
      </x:c>
      <x:c r="E13" t="n">
        <x:v>2</x:v>
      </x:c>
    </x:row>
    <x:row r="14">
      <x:c r="D14" t="str">
        <x:v>FOUR PAWS</x:v>
      </x:c>
      <x:c r="E14" t="n">
        <x:v>1</x:v>
      </x:c>
    </x:row>
    <x:row r="15">
      <x:c r="D15" t="str">
        <x:v>Financial Times</x:v>
      </x:c>
      <x:c r="E15" t="n">
        <x:v>1</x:v>
      </x:c>
    </x:row>
    <x:row r="16">
      <x:c r="D16" t="str">
        <x:v>National Geographic</x:v>
      </x:c>
      <x:c r="E16" t="n">
        <x:v>1</x:v>
      </x:c>
    </x:row>
    <x:row r="17">
      <x:c r="D17" t="str">
        <x:v>South African Revenue Service</x:v>
      </x:c>
      <x:c r="E17" t="n">
        <x:v>1</x:v>
      </x:c>
    </x:row>
    <x:row r="18">
      <x:c r="D18" t="str">
        <x:v>TRAFFIC</x:v>
      </x:c>
      <x:c r="E18" t="n">
        <x:v>1</x:v>
      </x:c>
    </x:row>
    <x:row r="19">
      <x:c r="D19" t="str">
        <x:v>VietnamNet</x:v>
      </x:c>
      <x:c r="E19" t="n">
        <x:v>1</x:v>
      </x:c>
    </x:row>
  </x:sheetData>
  <x:mergeCells>
    <x:mergeCell ref="A1:F1"/>
  </x:mergeCells>
  <x:pageMargins left="0.7" right="0.7" top="0.75" bottom="0.75" header="0.3" footer="0.3"/>
</x:worksheet>
</file>